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/>
  <mc:AlternateContent xmlns:mc="http://schemas.openxmlformats.org/markup-compatibility/2006">
    <mc:Choice Requires="x15">
      <x15ac:absPath xmlns:x15ac="http://schemas.microsoft.com/office/spreadsheetml/2010/11/ac" url="C:\Data\dev\RetreatVolunteer\"/>
    </mc:Choice>
  </mc:AlternateContent>
  <xr:revisionPtr revIDLastSave="0" documentId="8_{5772ED8B-31B6-49E6-8F2D-49E2FD9342C9}" xr6:coauthVersionLast="47" xr6:coauthVersionMax="47" xr10:uidLastSave="{00000000-0000-0000-0000-000000000000}"/>
  <bookViews>
    <workbookView xWindow="12340" yWindow="3170" windowWidth="24380" windowHeight="17590" tabRatio="500" xr2:uid="{00000000-000D-0000-FFFF-FFFF00000000}"/>
  </bookViews>
  <sheets>
    <sheet name="1. List by Day-Slot" sheetId="1" r:id="rId1"/>
    <sheet name="2. Slot x Day Matrix" sheetId="2" r:id="rId2"/>
    <sheet name="3. Site Matrix" sheetId="3" r:id="rId3"/>
    <sheet name="4. Metrics" sheetId="4" r:id="rId4"/>
    <sheet name="5. Notes &amp; Ru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4" l="1"/>
  <c r="F10" i="4"/>
  <c r="D10" i="4"/>
  <c r="C10" i="4"/>
  <c r="E10" i="4" l="1"/>
</calcChain>
</file>

<file path=xl/sharedStrings.xml><?xml version="1.0" encoding="utf-8"?>
<sst xmlns="http://schemas.openxmlformats.org/spreadsheetml/2006/main" count="756" uniqueCount="225">
  <si>
    <t>Volunteer Schedule — Retreat July 20–26, 2026 (v2)</t>
  </si>
  <si>
    <t>Day 7 (Sun Jul 26): no scheduled volunteer tasks.</t>
  </si>
  <si>
    <t>Day</t>
  </si>
  <si>
    <t>Slot</t>
  </si>
  <si>
    <t>Time</t>
  </si>
  <si>
    <t>Site</t>
  </si>
  <si>
    <t>Task</t>
  </si>
  <si>
    <t>V × min</t>
  </si>
  <si>
    <t>Day 1
Mon Jul 20</t>
  </si>
  <si>
    <t>Start day</t>
  </si>
  <si>
    <t>8:00 AM – 8:30 AM</t>
  </si>
  <si>
    <t>Men's room urinals</t>
  </si>
  <si>
    <t>Set out mops/pads (1v, 5m)</t>
  </si>
  <si>
    <t>Coffee/snack area</t>
  </si>
  <si>
    <t>Setup (2v, 15m)</t>
  </si>
  <si>
    <t>Altar</t>
  </si>
  <si>
    <t>Unisex bathroom</t>
  </si>
  <si>
    <t>Full clean (2v, 10m)</t>
  </si>
  <si>
    <t>Morning break</t>
  </si>
  <si>
    <t>9:30 AM – 10:00 AM</t>
  </si>
  <si>
    <t>Quick mop, rinse pads (1v, 4m)</t>
  </si>
  <si>
    <t>Tidy &amp; replenish (1v, 10m)</t>
  </si>
  <si>
    <t>Tidy &amp; cull flowers (1v, 5m)</t>
  </si>
  <si>
    <t>Lunch break</t>
  </si>
  <si>
    <t>12:00 PM – 2:00 PM</t>
  </si>
  <si>
    <t>Hallway</t>
  </si>
  <si>
    <t>Vacuum (1v, 6m)</t>
  </si>
  <si>
    <t>Store</t>
  </si>
  <si>
    <t>Vacuum (1v, 8m)</t>
  </si>
  <si>
    <t>Afternoon break</t>
  </si>
  <si>
    <t>3:00 PM – 3:30 PM</t>
  </si>
  <si>
    <t>Women's room</t>
  </si>
  <si>
    <t>Quick clean (1v, 5m)</t>
  </si>
  <si>
    <t>Foyer</t>
  </si>
  <si>
    <t>Quick clean (1v, 8m)</t>
  </si>
  <si>
    <t>Dinner break</t>
  </si>
  <si>
    <t>6:30 PM – 8:00 PM</t>
  </si>
  <si>
    <t>Main hall</t>
  </si>
  <si>
    <t>Quick clean (2v, 10m)</t>
  </si>
  <si>
    <t>Front room</t>
  </si>
  <si>
    <t>Quick clean (1v, 6m)</t>
  </si>
  <si>
    <t>End day</t>
  </si>
  <si>
    <t>8:00 PM – 9:00 PM</t>
  </si>
  <si>
    <t>Full mop, replace pads (1v, 8m)</t>
  </si>
  <si>
    <t>Breakdown &amp; wash (2v, 12m)</t>
  </si>
  <si>
    <t>Trash</t>
  </si>
  <si>
    <t>Consolidate &amp; take out (1v, 15m)</t>
  </si>
  <si>
    <t>Kitchen</t>
  </si>
  <si>
    <t>Full clean (2v, 15m)</t>
  </si>
  <si>
    <t>Men's room</t>
  </si>
  <si>
    <t>Café</t>
  </si>
  <si>
    <t>Day 2
Tue Jul 21</t>
  </si>
  <si>
    <t>Front windows</t>
  </si>
  <si>
    <t>Clean (1v, 15m)</t>
  </si>
  <si>
    <t>Buy snacks</t>
  </si>
  <si>
    <t>Shop &amp; restock (2v, 20m)</t>
  </si>
  <si>
    <t>Lama bathroom</t>
  </si>
  <si>
    <t>Clean (1v, 6m)</t>
  </si>
  <si>
    <t>JH office</t>
  </si>
  <si>
    <t>Vacuum (1v, 10m)</t>
  </si>
  <si>
    <t>Tara Paradise room</t>
  </si>
  <si>
    <t>Break down &amp; wash (2v, 10m)</t>
  </si>
  <si>
    <t>Kitchen towels</t>
  </si>
  <si>
    <t>Collect for laundering (1v, 10m)</t>
  </si>
  <si>
    <t>Bona mop pads</t>
  </si>
  <si>
    <t>Day 3
Wed Jul 22</t>
  </si>
  <si>
    <t>Return laundered (1v, 1m)</t>
  </si>
  <si>
    <t>Quick clean (1v, 12m)</t>
  </si>
  <si>
    <t>Full clean (2v, 8m)</t>
  </si>
  <si>
    <t>Day 4
Thu Jul 23</t>
  </si>
  <si>
    <t>Lama office</t>
  </si>
  <si>
    <t>Day 5
Fri Jul 24</t>
  </si>
  <si>
    <t>Full clean (1v, 10m)</t>
  </si>
  <si>
    <t>Day 6
Sat Jul 25</t>
  </si>
  <si>
    <t>Clear, full clean &amp; reset (5v, 15m)</t>
  </si>
  <si>
    <t>Slot × Day Matrix</t>
  </si>
  <si>
    <t>8:00 AM
8:30 AM</t>
  </si>
  <si>
    <t>Men's room urinals — Set out mops/pads (1v, 5m)
Coffee/snack area — Setup (2v, 15m)
Altar — Setup (2v, 15m)
Unisex bathroom — Full clean (2v, 10m)</t>
  </si>
  <si>
    <t>Men's room urinals — Set out mops/pads (1v, 5m)
Coffee/snack area — Setup (2v, 15m)
Front windows — Clean (1v, 15m)
Unisex bathroom — Full clean (2v, 10m)
Altar — Tidy &amp; cull flowers (1v, 5m)</t>
  </si>
  <si>
    <t>Men's room urinals — Set out mops/pads (1v, 5m)
Coffee/snack area — Setup (2v, 15m)
Altar — Setup (2v, 15m)
Unisex bathroom — Full clean (2v, 10m)
Kitchen towels — Return laundered (1v, 1m)
Bona mop pads — Return laundered (1v, 1m)</t>
  </si>
  <si>
    <t>Men's room urinals — Set out mops/pads (1v, 5m)
Coffee/snack area — Setup (2v, 15m)
Unisex bathroom — Full clean (2v, 10m)
Altar — Tidy &amp; cull flowers (1v, 5m)
Lama office — Quick clean (1v, 8m)</t>
  </si>
  <si>
    <t>Men's room urinals — Set out mops/pads (1v, 5m)
Coffee/snack area — Setup (2v, 15m)
Altar — Setup (2v, 15m)
Unisex bathroom — Full clean (2v, 10m)
Front windows — Clean (1v, 15m)
Kitchen towels — Return laundered (1v, 1m)
Bona mop pads — Return laundered (1v, 1m)</t>
  </si>
  <si>
    <t>Men's room urinals — Set out mops/pads (1v, 5m)
Coffee/snack area — Setup (2v, 15m)
Unisex bathroom — Full clean (2v, 10m)
Altar — Tidy &amp; cull flowers (1v, 5m)
Lama bathroom — Clean (1v, 6m)</t>
  </si>
  <si>
    <t>9:30 AM
10:00 AM</t>
  </si>
  <si>
    <t>Men's room urinals — Quick mop, rinse pads (1v, 4m)
Coffee/snack area — Tidy &amp; replenish (1v, 10m)
Altar — Tidy &amp; cull flowers (1v, 5m)</t>
  </si>
  <si>
    <t>Men's room urinals — Quick mop, rinse pads (1v, 4m)
Coffee/snack area — Tidy &amp; replenish (1v, 10m)
Foyer — Quick clean (1v, 8m)</t>
  </si>
  <si>
    <t>Men's room urinals — Quick mop, rinse pads (1v, 4m)
Coffee/snack area — Tidy &amp; replenish (1v, 10m)
Women's room — Quick clean (1v, 5m)</t>
  </si>
  <si>
    <t>12:00 PM
2:00 PM</t>
  </si>
  <si>
    <t>Men's room urinals — Quick mop, rinse pads (1v, 4m)
Hallway — Vacuum (1v, 6m)
Store — Vacuum (1v, 8m)</t>
  </si>
  <si>
    <t>Men's room urinals — Quick mop, rinse pads (1v, 4m)
Buy snacks — Shop &amp; restock (2v, 20m)
Hallway — Vacuum (1v, 6m)
Lama bathroom — Clean (1v, 6m)
JH office — Vacuum (1v, 10m)</t>
  </si>
  <si>
    <t>Men's room urinals — Quick mop, rinse pads (1v, 4m)
Hallway — Vacuum (1v, 6m)
Store — Vacuum (1v, 8m)
Tara Paradise room — Vacuum (1v, 10m)
Front room — Quick clean (1v, 6m)</t>
  </si>
  <si>
    <t>Men's room urinals — Quick mop, rinse pads (1v, 4m)
Hallway — Vacuum (1v, 6m)
Store — Vacuum (1v, 8m)
JH office — Vacuum (1v, 10m)</t>
  </si>
  <si>
    <t>Men's room urinals — Quick mop, rinse pads (1v, 4m)
Hallway — Vacuum (1v, 6m)
Front room — Quick clean (1v, 6m)</t>
  </si>
  <si>
    <t>3:00 PM
3:30 PM</t>
  </si>
  <si>
    <t>Men's room urinals — Quick mop, rinse pads (1v, 4m)
Coffee/snack area — Tidy &amp; replenish (1v, 10m)
Women's room — Quick clean (1v, 5m)
Foyer — Quick clean (1v, 8m)</t>
  </si>
  <si>
    <t>Men's room urinals — Quick mop, rinse pads (1v, 4m)
Coffee/snack area — Tidy &amp; replenish (1v, 10m)
Men's room — Quick clean (1v, 6m)</t>
  </si>
  <si>
    <t>Men's room urinals — Quick mop, rinse pads (1v, 4m)
Coffee/snack area — Tidy &amp; replenish (1v, 10m)
Men's room — Quick clean (1v, 6m)
Women's room — Quick clean (1v, 5m)</t>
  </si>
  <si>
    <t>Men's room urinals — Quick mop, rinse pads (1v, 4m)
Coffee/snack area — Tidy &amp; replenish (1v, 10m)
Women's room — Quick clean (1v, 5m)
Men's room — Quick clean (1v, 6m)</t>
  </si>
  <si>
    <t>6:30 PM
8:00 PM</t>
  </si>
  <si>
    <t>Men's room urinals — Quick mop, rinse pads (1v, 4m)
Main hall — Quick clean (2v, 10m)
Front room — Quick clean (1v, 6m)</t>
  </si>
  <si>
    <t>Men's room urinals — Quick mop, rinse pads (1v, 4m)
Women's room — Quick clean (1v, 5m)
Tara Paradise room — Vacuum (1v, 10m)
Unisex bathroom — Quick clean (1v, 8m)</t>
  </si>
  <si>
    <t>Men's room urinals — Quick mop, rinse pads (1v, 4m)
Main hall — Quick clean (2v, 10m)
Unisex bathroom — Quick clean (1v, 8m)
Café — Quick clean (1v, 12m)</t>
  </si>
  <si>
    <t>Men's room urinals — Quick mop, rinse pads (1v, 4m)
Main hall — Quick clean (2v, 10m)
Front room — Quick clean (1v, 6m)
Unisex bathroom — Quick clean (1v, 8m)</t>
  </si>
  <si>
    <t>Men's room urinals — Quick mop, rinse pads (1v, 4m)
Main hall — Quick clean (2v, 10m)
Café — Quick clean (1v, 12m)</t>
  </si>
  <si>
    <t>8:00 PM
9:00 PM</t>
  </si>
  <si>
    <t>Men's room urinals — Full mop, replace pads (1v, 8m)
Coffee/snack area — Breakdown &amp; wash (2v, 12m)
Trash — Consolidate &amp; take out (1v, 15m)
Kitchen — Full clean (2v, 15m)
Men's room — Full clean (2v, 10m)
Foyer — Full clean (2v, 10m)
Café — Full clean (2v, 15m)</t>
  </si>
  <si>
    <t>Men's room urinals — Full mop, replace pads (1v, 8m)
Coffee/snack area — Breakdown &amp; wash (2v, 12m)
Trash — Consolidate &amp; take out (1v, 15m)
Kitchen — Full clean (2v, 15m)
Men's room — Full clean (2v, 10m)
Foyer — Full clean (2v, 10m)
Café — Full clean (2v, 15m)
Altar — Break down &amp; wash (2v, 10m)
Kitchen towels — Collect for laundering (1v, 10m)
Bona mop pads — Collect for laundering (1v, 10m)</t>
  </si>
  <si>
    <t>Men's room urinals — Full mop, replace pads (1v, 8m)
Coffee/snack area — Breakdown &amp; wash (2v, 12m)
Trash — Consolidate &amp; take out (1v, 15m)
Kitchen — Full clean (2v, 15m)
Men's room — Full clean (2v, 10m)
Foyer — Full clean (2v, 10m)
Café — Full clean (2v, 15m)
Women's room — Full clean (2v, 8m)</t>
  </si>
  <si>
    <t>Men's room urinals — Full mop, replace pads (1v, 8m)
Coffee/snack area — Breakdown &amp; wash (2v, 12m)
Trash — Consolidate &amp; take out (1v, 15m)
Kitchen — Full clean (2v, 15m)
Men's room — Full clean (2v, 10m)
Foyer — Full clean (2v, 10m)
Café — Full clean (2v, 15m)
Altar — Break down &amp; wash (2v, 10m)
Lama office — Full clean (2v, 10m)
Kitchen towels — Collect for laundering (1v, 10m)
Bona mop pads — Collect for laundering (1v, 10m)</t>
  </si>
  <si>
    <t>Men's room urinals — Full mop, replace pads (1v, 8m)
Coffee/snack area — Breakdown &amp; wash (2v, 12m)
Trash — Consolidate &amp; take out (1v, 15m)
Kitchen — Full clean (2v, 15m)
Men's room — Full clean (2v, 10m)
Foyer — Full clean (2v, 10m)
Café — Full clean (2v, 15m)
Front room — Full clean (1v, 10m)</t>
  </si>
  <si>
    <t>Men's room urinals — Full mop, replace pads (1v, 8m)
Coffee/snack area — Breakdown &amp; wash (2v, 12m)
Trash — Consolidate &amp; take out (1v, 15m)
Kitchen — Full clean (2v, 15m)
Men's room — Full clean (2v, 10m)
Foyer — Full clean (2v, 10m)
Café — Full clean (2v, 15m)
Women's room — Full clean (2v, 8m)
Front room — Full clean (1v, 10m)
Lama office — Full clean (2v, 10m)
Main hall — Clear, full clean &amp; reset (5v, 15m)
Store — Vacuum (1v, 8m)
Hallway — Vacuum (1v, 6m)
Tara Paradise room — Vacuum (1v, 10m)
JH office — Vacuum (1v, 10m)
Lama bathroom — Clean (1v, 6m)
Unisex bathroom — Full clean (2v, 10m)
Altar — Break down &amp; wash (2v, 10m)
Kitchen towels — Collect for laundering (1v, 10m)
Bona mop pads — Collect for laundering (1v, 10m)</t>
  </si>
  <si>
    <t>Site Matrix — tasks by site, in chronological order</t>
  </si>
  <si>
    <t>Use this sheet to make manual adjustments. Each column lists the day's tasks for that site, in slot order.</t>
  </si>
  <si>
    <t>End day: Full clean (2v, 15m)</t>
  </si>
  <si>
    <t>Dinner break: Quick clean (1v, 12m)
End day: Full clean (2v, 15m)</t>
  </si>
  <si>
    <t>Start day: Setup (2v, 15m)
Morning break: Tidy &amp; replenish (1v, 10m)
Afternoon break: Tidy &amp; replenish (1v, 10m)
End day: Breakdown &amp; wash (2v, 12m)</t>
  </si>
  <si>
    <t>Lunch break: Vacuum (1v, 8m)</t>
  </si>
  <si>
    <t>—</t>
  </si>
  <si>
    <t>End day: Vacuum (1v, 8m)</t>
  </si>
  <si>
    <t>Lunch break: Vacuum (1v, 6m)</t>
  </si>
  <si>
    <t>Lunch break: Vacuum (1v, 6m)
End day: Vacuum (1v, 6m)</t>
  </si>
  <si>
    <t>Dinner break: Vacuum (1v, 10m)</t>
  </si>
  <si>
    <t>Lunch break: Vacuum (1v, 10m)</t>
  </si>
  <si>
    <t>End day: Vacuum (1v, 10m)</t>
  </si>
  <si>
    <t>End day: Full clean (2v, 10m)</t>
  </si>
  <si>
    <t>Afternoon break: Quick clean (1v, 6m)
End day: Full clean (2v, 10m)</t>
  </si>
  <si>
    <t>Start day: Set out mops/pads (1v, 5m)
Morning break: Quick mop, rinse pads (1v, 4m)
Lunch break: Quick mop, rinse pads (1v, 4m)
Afternoon break: Quick mop, rinse pads (1v, 4m)
Dinner break: Quick mop, rinse pads (1v, 4m)
End day: Full mop, replace pads (1v, 8m)</t>
  </si>
  <si>
    <t>Afternoon break: Quick clean (1v, 5m)</t>
  </si>
  <si>
    <t>Dinner break: Quick clean (1v, 5m)</t>
  </si>
  <si>
    <t>End day: Full clean (2v, 8m)</t>
  </si>
  <si>
    <t>Morning break: Quick clean (1v, 5m)</t>
  </si>
  <si>
    <t>Afternoon break: Quick clean (1v, 5m)
End day: Full clean (2v, 8m)</t>
  </si>
  <si>
    <t>Afternoon break: Quick clean (1v, 8m)
End day: Full clean (2v, 10m)</t>
  </si>
  <si>
    <t>Morning break: Quick clean (1v, 8m)
End day: Full clean (2v, 10m)</t>
  </si>
  <si>
    <t>Dinner break: Quick clean (1v, 6m)</t>
  </si>
  <si>
    <t>Lunch break: Quick clean (1v, 6m)</t>
  </si>
  <si>
    <t>End day: Full clean (1v, 10m)</t>
  </si>
  <si>
    <t>Lunch break: Quick clean (1v, 6m)
End day: Full clean (1v, 10m)</t>
  </si>
  <si>
    <t>Start day: Setup (2v, 15m)
Morning break: Tidy &amp; cull flowers (1v, 5m)</t>
  </si>
  <si>
    <t>Start day: Tidy &amp; cull flowers (1v, 5m)
End day: Break down &amp; wash (2v, 10m)</t>
  </si>
  <si>
    <t>Dinner break: Quick clean (2v, 10m)</t>
  </si>
  <si>
    <t>Dinner break: Quick clean (2v, 10m)
End day: Clear, full clean &amp; reset (5v, 15m)</t>
  </si>
  <si>
    <t>Start day: Quick clean (1v, 8m)
End day: Full clean (2v, 10m)</t>
  </si>
  <si>
    <t>Start day: Full clean (2v, 10m)</t>
  </si>
  <si>
    <t>Start day: Full clean (2v, 10m)
Dinner break: Quick clean (1v, 8m)</t>
  </si>
  <si>
    <t>Start day: Full clean (2v, 10m)
End day: Full clean (2v, 10m)</t>
  </si>
  <si>
    <t>Lunch break: Clean (1v, 6m)</t>
  </si>
  <si>
    <t>Start day: Clean (1v, 6m)
End day: Clean (1v, 6m)</t>
  </si>
  <si>
    <t>End day: Collect for laundering (1v, 10m)</t>
  </si>
  <si>
    <t>Start day: Return laundered (1v, 1m)</t>
  </si>
  <si>
    <t>Lunch break: Shop &amp; restock (2v, 20m)</t>
  </si>
  <si>
    <t>End day: Consolidate &amp; take out (1v, 15m)</t>
  </si>
  <si>
    <t>Start day: Clean (1v, 15m)</t>
  </si>
  <si>
    <t>Volunteer Metrics by Day</t>
  </si>
  <si>
    <t>Date</t>
  </si>
  <si>
    <t>Total volunteer-minutes</t>
  </si>
  <si>
    <t>Volunteers needed (no double duty)</t>
  </si>
  <si>
    <t>Avg min / volunteer (no double duty)</t>
  </si>
  <si>
    <t>Volunteers needed (max packing, 5-min padding)</t>
  </si>
  <si>
    <t>Task-slots filled</t>
  </si>
  <si>
    <t>Day 1</t>
  </si>
  <si>
    <t>Mon Jul 20</t>
  </si>
  <si>
    <t>Day 2</t>
  </si>
  <si>
    <t>Tue Jul 21</t>
  </si>
  <si>
    <t>Day 3</t>
  </si>
  <si>
    <t>Wed Jul 22</t>
  </si>
  <si>
    <t>Day 4</t>
  </si>
  <si>
    <t>Thu Jul 23</t>
  </si>
  <si>
    <t>Day 5</t>
  </si>
  <si>
    <t>Fri Jul 24</t>
  </si>
  <si>
    <t>Day 6</t>
  </si>
  <si>
    <t>Sat Jul 25</t>
  </si>
  <si>
    <t>TOTAL</t>
  </si>
  <si>
    <t>Days 1–6</t>
  </si>
  <si>
    <t>Packed Volunteers per Slot (detail)</t>
  </si>
  <si>
    <t>Slot (capacity)</t>
  </si>
  <si>
    <t>Slot Total</t>
  </si>
  <si>
    <t>Start day (30m)</t>
  </si>
  <si>
    <t>Morning break (30m)</t>
  </si>
  <si>
    <t>Lunch break (120m)</t>
  </si>
  <si>
    <t>Afternoon break (30m)</t>
  </si>
  <si>
    <t>Dinner break (90m)</t>
  </si>
  <si>
    <t>End day (60m)</t>
  </si>
  <si>
    <t>Packing assumptions</t>
  </si>
  <si>
    <t>• 5-minute padding between tasks for the same volunteer (travel/handoff).</t>
  </si>
  <si>
    <t>• A task needing V volunteers creates V concurrent 'volunteer-instances' that each consume the task's full duration.</t>
  </si>
  <si>
    <t>• Each volunteer works within a single slot; no task spans slots.</t>
  </si>
  <si>
    <t>• Slot capacities used: Start day 30m, Morning break 30m, Lunch break 120m, Afternoon break 30m, Dinner break 90m, End day 60m.</t>
  </si>
  <si>
    <t>• End day on Day 6 uses 60m like other days in this estimate, but the final close-down may actually extend beyond 9:00 PM. If allowed to run longer, the Day 6 packed count drops accordingly.</t>
  </si>
  <si>
    <t>• First-fit-decreasing bin packing (reasonable, not provably optimal).</t>
  </si>
  <si>
    <t>• 'No double duty' column = strict upper bound: one unique volunteer per task-slot across the whole day.</t>
  </si>
  <si>
    <t>Scheduling Notes, Rules Applied, and Assumptions</t>
  </si>
  <si>
    <t>Retreat dates</t>
  </si>
  <si>
    <t>July 20–26, 2026 (Days 1–7). Day 7 (Sun Jul 26) has no scheduled volunteer tasks.</t>
  </si>
  <si>
    <t>Days scheduled</t>
  </si>
  <si>
    <t>Day 1 (Mon Jul 20) through Day 6 (Sat Jul 25).</t>
  </si>
  <si>
    <t>End-of-retreat clean</t>
  </si>
  <si>
    <t>All sites receive a full clean on Day 6 end-of-day so the facility is left totally clean.</t>
  </si>
  <si>
    <t>Heavy-use full-clean daily</t>
  </si>
  <si>
    <t>Kitchen, Men's room, Foyer, Café → full clean at End day, every day. Unisex bathroom → full clean at Start day, every day (keeps unisex available during daytime when men's/women's are cleaned at end).</t>
  </si>
  <si>
    <t>Rule: no full cleans during the day</t>
  </si>
  <si>
    <t>All full cleans occur in Start day or End day slots. Breaks only host quick cleans, tidies, vacuums, and short tasks.</t>
  </si>
  <si>
    <t>Rule: no café/kitchen cleaning during lunch</t>
  </si>
  <si>
    <t>Both sites are in heavy use during lunch. Café quick cleans are scheduled at dinner break; kitchen quick cleans were not needed because kitchen receives an end-of-day full clean every day.</t>
  </si>
  <si>
    <t>Rule: unisex availability</t>
  </si>
  <si>
    <t>Unisex full clean is placed at Start day, not at the End day slot where Men's and Women's fulls occur (except Day 6 end-of-retreat close-down, when the availability rule no longer applies).</t>
  </si>
  <si>
    <t>Rule: urinals every break</t>
  </si>
  <si>
    <t>Men's room urinals quick mop at morning, lunch, afternoon, and dinner breaks. Setup at start of day, full mop with disposable-pad replacement at end of day.</t>
  </si>
  <si>
    <t>Set up on Days 1, 3, 5 (Start day). Broken down &amp; washed on Days 2, 4, 6 (End day). Tidy &amp; cull flowers each morning it is up. Interpreting 'every other day' as alternating setup/breakdown — confirm if a different cadence was intended.</t>
  </si>
  <si>
    <t>Setup at Start day every day; tidy &amp; replenish at morning and afternoon breaks; breakdown &amp; wash at End day every day.</t>
  </si>
  <si>
    <t>Consolidate &amp; take out at End day every day (Days 1–6).</t>
  </si>
  <si>
    <t>Cleaned twice: Day 2 Start day and Day 5 Start day.</t>
  </si>
  <si>
    <t>Day 2 and Day 4 at lunch break (long enough window to leave the retreat center).</t>
  </si>
  <si>
    <t>Kitchen towels &amp; Bona mop pads</t>
  </si>
  <si>
    <t>Collected for laundering at End day on Days 2, 4, and 6. Returned laundered at Start day on Days 3 and 5. Day 6 collection is post-retreat; no return scheduled.</t>
  </si>
  <si>
    <t>Cleaned Days 2, 4, and 6 (final clean at Day 6 Start day + a second pass at end-of-retreat reset).</t>
  </si>
  <si>
    <t>Quick clean at a break on Days 1, 3, 4, 5, 6. Full clear/clean/reset once, at Day 6 End day as part of the final close-down.</t>
  </si>
  <si>
    <t>Task format</t>
  </si>
  <si>
    <t>'Site — Task (Nv, Mm)' where Nv = volunteers needed concurrently, Mm = task duration in minutes.</t>
  </si>
  <si>
    <t>End day variable length</t>
  </si>
  <si>
    <t>Prompt specifies 7:00 PM on days without a social event, 9:00 PM otherwise. The schedule assumes ~60 min end-of-day capacity for most days; Day 6 close-down likely extends beyond that.</t>
  </si>
  <si>
    <t>What's in Sheet 3</t>
  </si>
  <si>
    <t>Site Matrix for manual adjustments: review each site's weekly load and move tasks between days to balance volunteer coverage or workload.</t>
  </si>
  <si>
    <t>Ambiguous specs</t>
  </si>
  <si>
    <t>Prompt said Men's quick clean '(,6)' — interpreted as (1 volunteer, 6 min). Prompt listed Front room full as (1, 10), which is unusual vs. other full cleans at 2v; preserved as-specified.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</si>
</sst>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7F600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C6E0B4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horizontal="left" vertical="top" wrapText="1"/>
    </xf>
    <xf numFmtId="0" fontId="7" fillId="0" borderId="0" xfId="0" applyFont="1"/>
    <xf numFmtId="0" fontId="6" fillId="0" borderId="0" xfId="0" applyFont="1"/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2" borderId="0" xfId="0" applyFont="1" applyFill="1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"/>
  <sheetViews>
    <sheetView tabSelected="1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8" customWidth="1"/>
    <col min="3" max="3" width="20" customWidth="1"/>
    <col min="4" max="4" width="22" customWidth="1"/>
    <col min="5" max="5" width="42" customWidth="1"/>
    <col min="6" max="6" width="10" customWidth="1"/>
  </cols>
  <sheetData>
    <row r="1" spans="1:6" ht="18" x14ac:dyDescent="0.4">
      <c r="A1" s="7" t="s">
        <v>0</v>
      </c>
      <c r="B1" s="7"/>
      <c r="C1" s="7"/>
      <c r="D1" s="7"/>
      <c r="E1" s="7"/>
      <c r="F1" s="7"/>
    </row>
    <row r="2" spans="1:6" x14ac:dyDescent="0.35">
      <c r="A2" s="6" t="s">
        <v>1</v>
      </c>
      <c r="B2" s="6"/>
      <c r="C2" s="6"/>
      <c r="D2" s="6"/>
      <c r="E2" s="6"/>
      <c r="F2" s="6"/>
    </row>
    <row r="4" spans="1:6" x14ac:dyDescent="0.3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</row>
    <row r="5" spans="1:6" ht="15" customHeight="1" x14ac:dyDescent="0.35">
      <c r="A5" s="5" t="s">
        <v>8</v>
      </c>
      <c r="B5" s="5" t="s">
        <v>9</v>
      </c>
      <c r="C5" s="5" t="s">
        <v>10</v>
      </c>
      <c r="D5" s="9" t="s">
        <v>11</v>
      </c>
      <c r="E5" s="9" t="s">
        <v>12</v>
      </c>
      <c r="F5" s="10">
        <v>5</v>
      </c>
    </row>
    <row r="6" spans="1:6" x14ac:dyDescent="0.35">
      <c r="A6" s="5"/>
      <c r="B6" s="5"/>
      <c r="C6" s="5"/>
      <c r="D6" s="9" t="s">
        <v>13</v>
      </c>
      <c r="E6" s="9" t="s">
        <v>14</v>
      </c>
      <c r="F6" s="10">
        <v>30</v>
      </c>
    </row>
    <row r="7" spans="1:6" x14ac:dyDescent="0.35">
      <c r="A7" s="5"/>
      <c r="B7" s="5"/>
      <c r="C7" s="5"/>
      <c r="D7" s="9" t="s">
        <v>15</v>
      </c>
      <c r="E7" s="9" t="s">
        <v>14</v>
      </c>
      <c r="F7" s="10">
        <v>30</v>
      </c>
    </row>
    <row r="8" spans="1:6" x14ac:dyDescent="0.35">
      <c r="A8" s="5"/>
      <c r="B8" s="5"/>
      <c r="C8" s="5"/>
      <c r="D8" s="9" t="s">
        <v>16</v>
      </c>
      <c r="E8" s="9" t="s">
        <v>17</v>
      </c>
      <c r="F8" s="10">
        <v>20</v>
      </c>
    </row>
    <row r="9" spans="1:6" ht="15" customHeight="1" x14ac:dyDescent="0.35">
      <c r="A9" s="5"/>
      <c r="B9" s="5" t="s">
        <v>18</v>
      </c>
      <c r="C9" s="5" t="s">
        <v>19</v>
      </c>
      <c r="D9" s="9" t="s">
        <v>11</v>
      </c>
      <c r="E9" s="9" t="s">
        <v>20</v>
      </c>
      <c r="F9" s="10">
        <v>4</v>
      </c>
    </row>
    <row r="10" spans="1:6" x14ac:dyDescent="0.35">
      <c r="A10" s="5"/>
      <c r="B10" s="5"/>
      <c r="C10" s="5"/>
      <c r="D10" s="9" t="s">
        <v>13</v>
      </c>
      <c r="E10" s="9" t="s">
        <v>21</v>
      </c>
      <c r="F10" s="10">
        <v>10</v>
      </c>
    </row>
    <row r="11" spans="1:6" x14ac:dyDescent="0.35">
      <c r="A11" s="5"/>
      <c r="B11" s="5"/>
      <c r="C11" s="5"/>
      <c r="D11" s="9" t="s">
        <v>15</v>
      </c>
      <c r="E11" s="9" t="s">
        <v>22</v>
      </c>
      <c r="F11" s="10">
        <v>5</v>
      </c>
    </row>
    <row r="12" spans="1:6" ht="15" customHeight="1" x14ac:dyDescent="0.35">
      <c r="A12" s="5"/>
      <c r="B12" s="5" t="s">
        <v>23</v>
      </c>
      <c r="C12" s="5" t="s">
        <v>24</v>
      </c>
      <c r="D12" s="9" t="s">
        <v>11</v>
      </c>
      <c r="E12" s="9" t="s">
        <v>20</v>
      </c>
      <c r="F12" s="10">
        <v>4</v>
      </c>
    </row>
    <row r="13" spans="1:6" x14ac:dyDescent="0.35">
      <c r="A13" s="5"/>
      <c r="B13" s="5"/>
      <c r="C13" s="5"/>
      <c r="D13" s="9" t="s">
        <v>25</v>
      </c>
      <c r="E13" s="9" t="s">
        <v>26</v>
      </c>
      <c r="F13" s="10">
        <v>6</v>
      </c>
    </row>
    <row r="14" spans="1:6" x14ac:dyDescent="0.35">
      <c r="A14" s="5"/>
      <c r="B14" s="5"/>
      <c r="C14" s="5"/>
      <c r="D14" s="9" t="s">
        <v>27</v>
      </c>
      <c r="E14" s="9" t="s">
        <v>28</v>
      </c>
      <c r="F14" s="10">
        <v>8</v>
      </c>
    </row>
    <row r="15" spans="1:6" ht="15" customHeight="1" x14ac:dyDescent="0.35">
      <c r="A15" s="5"/>
      <c r="B15" s="5" t="s">
        <v>29</v>
      </c>
      <c r="C15" s="5" t="s">
        <v>30</v>
      </c>
      <c r="D15" s="9" t="s">
        <v>11</v>
      </c>
      <c r="E15" s="9" t="s">
        <v>20</v>
      </c>
      <c r="F15" s="10">
        <v>4</v>
      </c>
    </row>
    <row r="16" spans="1:6" x14ac:dyDescent="0.35">
      <c r="A16" s="5"/>
      <c r="B16" s="5"/>
      <c r="C16" s="5"/>
      <c r="D16" s="9" t="s">
        <v>13</v>
      </c>
      <c r="E16" s="9" t="s">
        <v>21</v>
      </c>
      <c r="F16" s="10">
        <v>10</v>
      </c>
    </row>
    <row r="17" spans="1:6" x14ac:dyDescent="0.35">
      <c r="A17" s="5"/>
      <c r="B17" s="5"/>
      <c r="C17" s="5"/>
      <c r="D17" s="9" t="s">
        <v>31</v>
      </c>
      <c r="E17" s="9" t="s">
        <v>32</v>
      </c>
      <c r="F17" s="10">
        <v>5</v>
      </c>
    </row>
    <row r="18" spans="1:6" x14ac:dyDescent="0.35">
      <c r="A18" s="5"/>
      <c r="B18" s="5"/>
      <c r="C18" s="5"/>
      <c r="D18" s="9" t="s">
        <v>33</v>
      </c>
      <c r="E18" s="9" t="s">
        <v>34</v>
      </c>
      <c r="F18" s="10">
        <v>8</v>
      </c>
    </row>
    <row r="19" spans="1:6" ht="15" customHeight="1" x14ac:dyDescent="0.35">
      <c r="A19" s="5"/>
      <c r="B19" s="5" t="s">
        <v>35</v>
      </c>
      <c r="C19" s="5" t="s">
        <v>36</v>
      </c>
      <c r="D19" s="9" t="s">
        <v>11</v>
      </c>
      <c r="E19" s="9" t="s">
        <v>20</v>
      </c>
      <c r="F19" s="10">
        <v>4</v>
      </c>
    </row>
    <row r="20" spans="1:6" x14ac:dyDescent="0.35">
      <c r="A20" s="5"/>
      <c r="B20" s="5"/>
      <c r="C20" s="5"/>
      <c r="D20" s="9" t="s">
        <v>37</v>
      </c>
      <c r="E20" s="9" t="s">
        <v>38</v>
      </c>
      <c r="F20" s="10">
        <v>20</v>
      </c>
    </row>
    <row r="21" spans="1:6" x14ac:dyDescent="0.35">
      <c r="A21" s="5"/>
      <c r="B21" s="5"/>
      <c r="C21" s="5"/>
      <c r="D21" s="9" t="s">
        <v>39</v>
      </c>
      <c r="E21" s="9" t="s">
        <v>40</v>
      </c>
      <c r="F21" s="10">
        <v>6</v>
      </c>
    </row>
    <row r="22" spans="1:6" ht="15" customHeight="1" x14ac:dyDescent="0.35">
      <c r="A22" s="5"/>
      <c r="B22" s="5" t="s">
        <v>41</v>
      </c>
      <c r="C22" s="5" t="s">
        <v>42</v>
      </c>
      <c r="D22" s="9" t="s">
        <v>11</v>
      </c>
      <c r="E22" s="9" t="s">
        <v>43</v>
      </c>
      <c r="F22" s="10">
        <v>8</v>
      </c>
    </row>
    <row r="23" spans="1:6" x14ac:dyDescent="0.35">
      <c r="A23" s="5"/>
      <c r="B23" s="5"/>
      <c r="C23" s="5"/>
      <c r="D23" s="9" t="s">
        <v>13</v>
      </c>
      <c r="E23" s="9" t="s">
        <v>44</v>
      </c>
      <c r="F23" s="10">
        <v>24</v>
      </c>
    </row>
    <row r="24" spans="1:6" x14ac:dyDescent="0.35">
      <c r="A24" s="5"/>
      <c r="B24" s="5"/>
      <c r="C24" s="5"/>
      <c r="D24" s="9" t="s">
        <v>45</v>
      </c>
      <c r="E24" s="9" t="s">
        <v>46</v>
      </c>
      <c r="F24" s="10">
        <v>15</v>
      </c>
    </row>
    <row r="25" spans="1:6" x14ac:dyDescent="0.35">
      <c r="A25" s="5"/>
      <c r="B25" s="5"/>
      <c r="C25" s="5"/>
      <c r="D25" s="9" t="s">
        <v>47</v>
      </c>
      <c r="E25" s="9" t="s">
        <v>48</v>
      </c>
      <c r="F25" s="10">
        <v>30</v>
      </c>
    </row>
    <row r="26" spans="1:6" x14ac:dyDescent="0.35">
      <c r="A26" s="5"/>
      <c r="B26" s="5"/>
      <c r="C26" s="5"/>
      <c r="D26" s="9" t="s">
        <v>49</v>
      </c>
      <c r="E26" s="9" t="s">
        <v>17</v>
      </c>
      <c r="F26" s="10">
        <v>20</v>
      </c>
    </row>
    <row r="27" spans="1:6" x14ac:dyDescent="0.35">
      <c r="A27" s="5"/>
      <c r="B27" s="5"/>
      <c r="C27" s="5"/>
      <c r="D27" s="9" t="s">
        <v>33</v>
      </c>
      <c r="E27" s="9" t="s">
        <v>17</v>
      </c>
      <c r="F27" s="10">
        <v>20</v>
      </c>
    </row>
    <row r="28" spans="1:6" x14ac:dyDescent="0.35">
      <c r="A28" s="5"/>
      <c r="B28" s="5"/>
      <c r="C28" s="5"/>
      <c r="D28" s="9" t="s">
        <v>50</v>
      </c>
      <c r="E28" s="9" t="s">
        <v>48</v>
      </c>
      <c r="F28" s="10">
        <v>30</v>
      </c>
    </row>
    <row r="29" spans="1:6" ht="15" customHeight="1" x14ac:dyDescent="0.35">
      <c r="A29" s="4" t="s">
        <v>51</v>
      </c>
      <c r="B29" s="4" t="s">
        <v>9</v>
      </c>
      <c r="C29" s="4" t="s">
        <v>10</v>
      </c>
      <c r="D29" s="11" t="s">
        <v>11</v>
      </c>
      <c r="E29" s="11" t="s">
        <v>12</v>
      </c>
      <c r="F29" s="12">
        <v>5</v>
      </c>
    </row>
    <row r="30" spans="1:6" x14ac:dyDescent="0.35">
      <c r="A30" s="4"/>
      <c r="B30" s="4"/>
      <c r="C30" s="4"/>
      <c r="D30" s="11" t="s">
        <v>13</v>
      </c>
      <c r="E30" s="11" t="s">
        <v>14</v>
      </c>
      <c r="F30" s="12">
        <v>30</v>
      </c>
    </row>
    <row r="31" spans="1:6" x14ac:dyDescent="0.35">
      <c r="A31" s="4"/>
      <c r="B31" s="4"/>
      <c r="C31" s="4"/>
      <c r="D31" s="11" t="s">
        <v>52</v>
      </c>
      <c r="E31" s="11" t="s">
        <v>53</v>
      </c>
      <c r="F31" s="12">
        <v>15</v>
      </c>
    </row>
    <row r="32" spans="1:6" x14ac:dyDescent="0.35">
      <c r="A32" s="4"/>
      <c r="B32" s="4"/>
      <c r="C32" s="4"/>
      <c r="D32" s="11" t="s">
        <v>16</v>
      </c>
      <c r="E32" s="11" t="s">
        <v>17</v>
      </c>
      <c r="F32" s="12">
        <v>20</v>
      </c>
    </row>
    <row r="33" spans="1:6" x14ac:dyDescent="0.35">
      <c r="A33" s="4"/>
      <c r="B33" s="4"/>
      <c r="C33" s="4"/>
      <c r="D33" s="11" t="s">
        <v>15</v>
      </c>
      <c r="E33" s="11" t="s">
        <v>22</v>
      </c>
      <c r="F33" s="12">
        <v>5</v>
      </c>
    </row>
    <row r="34" spans="1:6" ht="15" customHeight="1" x14ac:dyDescent="0.35">
      <c r="A34" s="4"/>
      <c r="B34" s="4" t="s">
        <v>18</v>
      </c>
      <c r="C34" s="4" t="s">
        <v>19</v>
      </c>
      <c r="D34" s="11" t="s">
        <v>11</v>
      </c>
      <c r="E34" s="11" t="s">
        <v>20</v>
      </c>
      <c r="F34" s="12">
        <v>4</v>
      </c>
    </row>
    <row r="35" spans="1:6" x14ac:dyDescent="0.35">
      <c r="A35" s="4"/>
      <c r="B35" s="4"/>
      <c r="C35" s="4"/>
      <c r="D35" s="11" t="s">
        <v>13</v>
      </c>
      <c r="E35" s="11" t="s">
        <v>21</v>
      </c>
      <c r="F35" s="12">
        <v>10</v>
      </c>
    </row>
    <row r="36" spans="1:6" x14ac:dyDescent="0.35">
      <c r="A36" s="4"/>
      <c r="B36" s="4"/>
      <c r="C36" s="4"/>
      <c r="D36" s="11" t="s">
        <v>33</v>
      </c>
      <c r="E36" s="11" t="s">
        <v>34</v>
      </c>
      <c r="F36" s="12">
        <v>8</v>
      </c>
    </row>
    <row r="37" spans="1:6" ht="15" customHeight="1" x14ac:dyDescent="0.35">
      <c r="A37" s="4"/>
      <c r="B37" s="4" t="s">
        <v>23</v>
      </c>
      <c r="C37" s="4" t="s">
        <v>24</v>
      </c>
      <c r="D37" s="11" t="s">
        <v>11</v>
      </c>
      <c r="E37" s="11" t="s">
        <v>20</v>
      </c>
      <c r="F37" s="12">
        <v>4</v>
      </c>
    </row>
    <row r="38" spans="1:6" x14ac:dyDescent="0.35">
      <c r="A38" s="4"/>
      <c r="B38" s="4"/>
      <c r="C38" s="4"/>
      <c r="D38" s="11" t="s">
        <v>54</v>
      </c>
      <c r="E38" s="11" t="s">
        <v>55</v>
      </c>
      <c r="F38" s="12">
        <v>40</v>
      </c>
    </row>
    <row r="39" spans="1:6" x14ac:dyDescent="0.35">
      <c r="A39" s="4"/>
      <c r="B39" s="4"/>
      <c r="C39" s="4"/>
      <c r="D39" s="11" t="s">
        <v>25</v>
      </c>
      <c r="E39" s="11" t="s">
        <v>26</v>
      </c>
      <c r="F39" s="12">
        <v>6</v>
      </c>
    </row>
    <row r="40" spans="1:6" x14ac:dyDescent="0.35">
      <c r="A40" s="4"/>
      <c r="B40" s="4"/>
      <c r="C40" s="4"/>
      <c r="D40" s="11" t="s">
        <v>56</v>
      </c>
      <c r="E40" s="11" t="s">
        <v>57</v>
      </c>
      <c r="F40" s="12">
        <v>6</v>
      </c>
    </row>
    <row r="41" spans="1:6" x14ac:dyDescent="0.35">
      <c r="A41" s="4"/>
      <c r="B41" s="4"/>
      <c r="C41" s="4"/>
      <c r="D41" s="11" t="s">
        <v>58</v>
      </c>
      <c r="E41" s="11" t="s">
        <v>59</v>
      </c>
      <c r="F41" s="12">
        <v>10</v>
      </c>
    </row>
    <row r="42" spans="1:6" ht="15" customHeight="1" x14ac:dyDescent="0.35">
      <c r="A42" s="4"/>
      <c r="B42" s="4" t="s">
        <v>29</v>
      </c>
      <c r="C42" s="4" t="s">
        <v>30</v>
      </c>
      <c r="D42" s="11" t="s">
        <v>11</v>
      </c>
      <c r="E42" s="11" t="s">
        <v>20</v>
      </c>
      <c r="F42" s="12">
        <v>4</v>
      </c>
    </row>
    <row r="43" spans="1:6" x14ac:dyDescent="0.35">
      <c r="A43" s="4"/>
      <c r="B43" s="4"/>
      <c r="C43" s="4"/>
      <c r="D43" s="11" t="s">
        <v>13</v>
      </c>
      <c r="E43" s="11" t="s">
        <v>21</v>
      </c>
      <c r="F43" s="12">
        <v>10</v>
      </c>
    </row>
    <row r="44" spans="1:6" x14ac:dyDescent="0.35">
      <c r="A44" s="4"/>
      <c r="B44" s="4"/>
      <c r="C44" s="4"/>
      <c r="D44" s="11" t="s">
        <v>49</v>
      </c>
      <c r="E44" s="11" t="s">
        <v>40</v>
      </c>
      <c r="F44" s="12">
        <v>6</v>
      </c>
    </row>
    <row r="45" spans="1:6" ht="15" customHeight="1" x14ac:dyDescent="0.35">
      <c r="A45" s="4"/>
      <c r="B45" s="4" t="s">
        <v>35</v>
      </c>
      <c r="C45" s="4" t="s">
        <v>36</v>
      </c>
      <c r="D45" s="11" t="s">
        <v>11</v>
      </c>
      <c r="E45" s="11" t="s">
        <v>20</v>
      </c>
      <c r="F45" s="12">
        <v>4</v>
      </c>
    </row>
    <row r="46" spans="1:6" x14ac:dyDescent="0.35">
      <c r="A46" s="4"/>
      <c r="B46" s="4"/>
      <c r="C46" s="4"/>
      <c r="D46" s="11" t="s">
        <v>31</v>
      </c>
      <c r="E46" s="11" t="s">
        <v>32</v>
      </c>
      <c r="F46" s="12">
        <v>5</v>
      </c>
    </row>
    <row r="47" spans="1:6" x14ac:dyDescent="0.35">
      <c r="A47" s="4"/>
      <c r="B47" s="4"/>
      <c r="C47" s="4"/>
      <c r="D47" s="11" t="s">
        <v>60</v>
      </c>
      <c r="E47" s="11" t="s">
        <v>59</v>
      </c>
      <c r="F47" s="12">
        <v>10</v>
      </c>
    </row>
    <row r="48" spans="1:6" x14ac:dyDescent="0.35">
      <c r="A48" s="4"/>
      <c r="B48" s="4"/>
      <c r="C48" s="4"/>
      <c r="D48" s="11" t="s">
        <v>16</v>
      </c>
      <c r="E48" s="11" t="s">
        <v>34</v>
      </c>
      <c r="F48" s="12">
        <v>8</v>
      </c>
    </row>
    <row r="49" spans="1:6" ht="15" customHeight="1" x14ac:dyDescent="0.35">
      <c r="A49" s="4"/>
      <c r="B49" s="4" t="s">
        <v>41</v>
      </c>
      <c r="C49" s="4" t="s">
        <v>42</v>
      </c>
      <c r="D49" s="11" t="s">
        <v>11</v>
      </c>
      <c r="E49" s="11" t="s">
        <v>43</v>
      </c>
      <c r="F49" s="12">
        <v>8</v>
      </c>
    </row>
    <row r="50" spans="1:6" x14ac:dyDescent="0.35">
      <c r="A50" s="4"/>
      <c r="B50" s="4"/>
      <c r="C50" s="4"/>
      <c r="D50" s="11" t="s">
        <v>13</v>
      </c>
      <c r="E50" s="11" t="s">
        <v>44</v>
      </c>
      <c r="F50" s="12">
        <v>24</v>
      </c>
    </row>
    <row r="51" spans="1:6" x14ac:dyDescent="0.35">
      <c r="A51" s="4"/>
      <c r="B51" s="4"/>
      <c r="C51" s="4"/>
      <c r="D51" s="11" t="s">
        <v>45</v>
      </c>
      <c r="E51" s="11" t="s">
        <v>46</v>
      </c>
      <c r="F51" s="12">
        <v>15</v>
      </c>
    </row>
    <row r="52" spans="1:6" x14ac:dyDescent="0.35">
      <c r="A52" s="4"/>
      <c r="B52" s="4"/>
      <c r="C52" s="4"/>
      <c r="D52" s="11" t="s">
        <v>47</v>
      </c>
      <c r="E52" s="11" t="s">
        <v>48</v>
      </c>
      <c r="F52" s="12">
        <v>30</v>
      </c>
    </row>
    <row r="53" spans="1:6" x14ac:dyDescent="0.35">
      <c r="A53" s="4"/>
      <c r="B53" s="4"/>
      <c r="C53" s="4"/>
      <c r="D53" s="11" t="s">
        <v>49</v>
      </c>
      <c r="E53" s="11" t="s">
        <v>17</v>
      </c>
      <c r="F53" s="12">
        <v>20</v>
      </c>
    </row>
    <row r="54" spans="1:6" x14ac:dyDescent="0.35">
      <c r="A54" s="4"/>
      <c r="B54" s="4"/>
      <c r="C54" s="4"/>
      <c r="D54" s="11" t="s">
        <v>33</v>
      </c>
      <c r="E54" s="11" t="s">
        <v>17</v>
      </c>
      <c r="F54" s="12">
        <v>20</v>
      </c>
    </row>
    <row r="55" spans="1:6" x14ac:dyDescent="0.35">
      <c r="A55" s="4"/>
      <c r="B55" s="4"/>
      <c r="C55" s="4"/>
      <c r="D55" s="11" t="s">
        <v>50</v>
      </c>
      <c r="E55" s="11" t="s">
        <v>48</v>
      </c>
      <c r="F55" s="12">
        <v>30</v>
      </c>
    </row>
    <row r="56" spans="1:6" x14ac:dyDescent="0.35">
      <c r="A56" s="4"/>
      <c r="B56" s="4"/>
      <c r="C56" s="4"/>
      <c r="D56" s="11" t="s">
        <v>15</v>
      </c>
      <c r="E56" s="11" t="s">
        <v>61</v>
      </c>
      <c r="F56" s="12">
        <v>20</v>
      </c>
    </row>
    <row r="57" spans="1:6" x14ac:dyDescent="0.35">
      <c r="A57" s="4"/>
      <c r="B57" s="4"/>
      <c r="C57" s="4"/>
      <c r="D57" s="11" t="s">
        <v>62</v>
      </c>
      <c r="E57" s="11" t="s">
        <v>63</v>
      </c>
      <c r="F57" s="12">
        <v>10</v>
      </c>
    </row>
    <row r="58" spans="1:6" x14ac:dyDescent="0.35">
      <c r="A58" s="4"/>
      <c r="B58" s="4"/>
      <c r="C58" s="4"/>
      <c r="D58" s="11" t="s">
        <v>64</v>
      </c>
      <c r="E58" s="11" t="s">
        <v>63</v>
      </c>
      <c r="F58" s="12">
        <v>10</v>
      </c>
    </row>
    <row r="59" spans="1:6" ht="15" customHeight="1" x14ac:dyDescent="0.35">
      <c r="A59" s="5" t="s">
        <v>65</v>
      </c>
      <c r="B59" s="5" t="s">
        <v>9</v>
      </c>
      <c r="C59" s="5" t="s">
        <v>10</v>
      </c>
      <c r="D59" s="9" t="s">
        <v>11</v>
      </c>
      <c r="E59" s="9" t="s">
        <v>12</v>
      </c>
      <c r="F59" s="10">
        <v>5</v>
      </c>
    </row>
    <row r="60" spans="1:6" x14ac:dyDescent="0.35">
      <c r="A60" s="5"/>
      <c r="B60" s="5"/>
      <c r="C60" s="5"/>
      <c r="D60" s="9" t="s">
        <v>13</v>
      </c>
      <c r="E60" s="9" t="s">
        <v>14</v>
      </c>
      <c r="F60" s="10">
        <v>30</v>
      </c>
    </row>
    <row r="61" spans="1:6" x14ac:dyDescent="0.35">
      <c r="A61" s="5"/>
      <c r="B61" s="5"/>
      <c r="C61" s="5"/>
      <c r="D61" s="9" t="s">
        <v>15</v>
      </c>
      <c r="E61" s="9" t="s">
        <v>14</v>
      </c>
      <c r="F61" s="10">
        <v>30</v>
      </c>
    </row>
    <row r="62" spans="1:6" x14ac:dyDescent="0.35">
      <c r="A62" s="5"/>
      <c r="B62" s="5"/>
      <c r="C62" s="5"/>
      <c r="D62" s="9" t="s">
        <v>16</v>
      </c>
      <c r="E62" s="9" t="s">
        <v>17</v>
      </c>
      <c r="F62" s="10">
        <v>20</v>
      </c>
    </row>
    <row r="63" spans="1:6" x14ac:dyDescent="0.35">
      <c r="A63" s="5"/>
      <c r="B63" s="5"/>
      <c r="C63" s="5"/>
      <c r="D63" s="9" t="s">
        <v>62</v>
      </c>
      <c r="E63" s="9" t="s">
        <v>66</v>
      </c>
      <c r="F63" s="10">
        <v>1</v>
      </c>
    </row>
    <row r="64" spans="1:6" x14ac:dyDescent="0.35">
      <c r="A64" s="5"/>
      <c r="B64" s="5"/>
      <c r="C64" s="5"/>
      <c r="D64" s="9" t="s">
        <v>64</v>
      </c>
      <c r="E64" s="9" t="s">
        <v>66</v>
      </c>
      <c r="F64" s="10">
        <v>1</v>
      </c>
    </row>
    <row r="65" spans="1:6" ht="15" customHeight="1" x14ac:dyDescent="0.35">
      <c r="A65" s="5"/>
      <c r="B65" s="5" t="s">
        <v>18</v>
      </c>
      <c r="C65" s="5" t="s">
        <v>19</v>
      </c>
      <c r="D65" s="9" t="s">
        <v>11</v>
      </c>
      <c r="E65" s="9" t="s">
        <v>20</v>
      </c>
      <c r="F65" s="10">
        <v>4</v>
      </c>
    </row>
    <row r="66" spans="1:6" x14ac:dyDescent="0.35">
      <c r="A66" s="5"/>
      <c r="B66" s="5"/>
      <c r="C66" s="5"/>
      <c r="D66" s="9" t="s">
        <v>13</v>
      </c>
      <c r="E66" s="9" t="s">
        <v>21</v>
      </c>
      <c r="F66" s="10">
        <v>10</v>
      </c>
    </row>
    <row r="67" spans="1:6" x14ac:dyDescent="0.35">
      <c r="A67" s="5"/>
      <c r="B67" s="5"/>
      <c r="C67" s="5"/>
      <c r="D67" s="9" t="s">
        <v>15</v>
      </c>
      <c r="E67" s="9" t="s">
        <v>22</v>
      </c>
      <c r="F67" s="10">
        <v>5</v>
      </c>
    </row>
    <row r="68" spans="1:6" ht="15" customHeight="1" x14ac:dyDescent="0.35">
      <c r="A68" s="5"/>
      <c r="B68" s="5" t="s">
        <v>23</v>
      </c>
      <c r="C68" s="5" t="s">
        <v>24</v>
      </c>
      <c r="D68" s="9" t="s">
        <v>11</v>
      </c>
      <c r="E68" s="9" t="s">
        <v>20</v>
      </c>
      <c r="F68" s="10">
        <v>4</v>
      </c>
    </row>
    <row r="69" spans="1:6" x14ac:dyDescent="0.35">
      <c r="A69" s="5"/>
      <c r="B69" s="5"/>
      <c r="C69" s="5"/>
      <c r="D69" s="9" t="s">
        <v>25</v>
      </c>
      <c r="E69" s="9" t="s">
        <v>26</v>
      </c>
      <c r="F69" s="10">
        <v>6</v>
      </c>
    </row>
    <row r="70" spans="1:6" x14ac:dyDescent="0.35">
      <c r="A70" s="5"/>
      <c r="B70" s="5"/>
      <c r="C70" s="5"/>
      <c r="D70" s="9" t="s">
        <v>27</v>
      </c>
      <c r="E70" s="9" t="s">
        <v>28</v>
      </c>
      <c r="F70" s="10">
        <v>8</v>
      </c>
    </row>
    <row r="71" spans="1:6" x14ac:dyDescent="0.35">
      <c r="A71" s="5"/>
      <c r="B71" s="5"/>
      <c r="C71" s="5"/>
      <c r="D71" s="9" t="s">
        <v>60</v>
      </c>
      <c r="E71" s="9" t="s">
        <v>59</v>
      </c>
      <c r="F71" s="10">
        <v>10</v>
      </c>
    </row>
    <row r="72" spans="1:6" x14ac:dyDescent="0.35">
      <c r="A72" s="5"/>
      <c r="B72" s="5"/>
      <c r="C72" s="5"/>
      <c r="D72" s="9" t="s">
        <v>39</v>
      </c>
      <c r="E72" s="9" t="s">
        <v>40</v>
      </c>
      <c r="F72" s="10">
        <v>6</v>
      </c>
    </row>
    <row r="73" spans="1:6" ht="15" customHeight="1" x14ac:dyDescent="0.35">
      <c r="A73" s="5"/>
      <c r="B73" s="5" t="s">
        <v>29</v>
      </c>
      <c r="C73" s="5" t="s">
        <v>30</v>
      </c>
      <c r="D73" s="9" t="s">
        <v>11</v>
      </c>
      <c r="E73" s="9" t="s">
        <v>20</v>
      </c>
      <c r="F73" s="10">
        <v>4</v>
      </c>
    </row>
    <row r="74" spans="1:6" x14ac:dyDescent="0.35">
      <c r="A74" s="5"/>
      <c r="B74" s="5"/>
      <c r="C74" s="5"/>
      <c r="D74" s="9" t="s">
        <v>13</v>
      </c>
      <c r="E74" s="9" t="s">
        <v>21</v>
      </c>
      <c r="F74" s="10">
        <v>10</v>
      </c>
    </row>
    <row r="75" spans="1:6" x14ac:dyDescent="0.35">
      <c r="A75" s="5"/>
      <c r="B75" s="5"/>
      <c r="C75" s="5"/>
      <c r="D75" s="9" t="s">
        <v>49</v>
      </c>
      <c r="E75" s="9" t="s">
        <v>40</v>
      </c>
      <c r="F75" s="10">
        <v>6</v>
      </c>
    </row>
    <row r="76" spans="1:6" ht="15" customHeight="1" x14ac:dyDescent="0.35">
      <c r="A76" s="5"/>
      <c r="B76" s="5" t="s">
        <v>35</v>
      </c>
      <c r="C76" s="5" t="s">
        <v>36</v>
      </c>
      <c r="D76" s="9" t="s">
        <v>11</v>
      </c>
      <c r="E76" s="9" t="s">
        <v>20</v>
      </c>
      <c r="F76" s="10">
        <v>4</v>
      </c>
    </row>
    <row r="77" spans="1:6" x14ac:dyDescent="0.35">
      <c r="A77" s="5"/>
      <c r="B77" s="5"/>
      <c r="C77" s="5"/>
      <c r="D77" s="9" t="s">
        <v>37</v>
      </c>
      <c r="E77" s="9" t="s">
        <v>38</v>
      </c>
      <c r="F77" s="10">
        <v>20</v>
      </c>
    </row>
    <row r="78" spans="1:6" x14ac:dyDescent="0.35">
      <c r="A78" s="5"/>
      <c r="B78" s="5"/>
      <c r="C78" s="5"/>
      <c r="D78" s="9" t="s">
        <v>16</v>
      </c>
      <c r="E78" s="9" t="s">
        <v>34</v>
      </c>
      <c r="F78" s="10">
        <v>8</v>
      </c>
    </row>
    <row r="79" spans="1:6" x14ac:dyDescent="0.35">
      <c r="A79" s="5"/>
      <c r="B79" s="5"/>
      <c r="C79" s="5"/>
      <c r="D79" s="9" t="s">
        <v>50</v>
      </c>
      <c r="E79" s="9" t="s">
        <v>67</v>
      </c>
      <c r="F79" s="10">
        <v>12</v>
      </c>
    </row>
    <row r="80" spans="1:6" ht="15" customHeight="1" x14ac:dyDescent="0.35">
      <c r="A80" s="5"/>
      <c r="B80" s="5" t="s">
        <v>41</v>
      </c>
      <c r="C80" s="5" t="s">
        <v>42</v>
      </c>
      <c r="D80" s="9" t="s">
        <v>11</v>
      </c>
      <c r="E80" s="9" t="s">
        <v>43</v>
      </c>
      <c r="F80" s="10">
        <v>8</v>
      </c>
    </row>
    <row r="81" spans="1:6" x14ac:dyDescent="0.35">
      <c r="A81" s="5"/>
      <c r="B81" s="5"/>
      <c r="C81" s="5"/>
      <c r="D81" s="9" t="s">
        <v>13</v>
      </c>
      <c r="E81" s="9" t="s">
        <v>44</v>
      </c>
      <c r="F81" s="10">
        <v>24</v>
      </c>
    </row>
    <row r="82" spans="1:6" x14ac:dyDescent="0.35">
      <c r="A82" s="5"/>
      <c r="B82" s="5"/>
      <c r="C82" s="5"/>
      <c r="D82" s="9" t="s">
        <v>45</v>
      </c>
      <c r="E82" s="9" t="s">
        <v>46</v>
      </c>
      <c r="F82" s="10">
        <v>15</v>
      </c>
    </row>
    <row r="83" spans="1:6" x14ac:dyDescent="0.35">
      <c r="A83" s="5"/>
      <c r="B83" s="5"/>
      <c r="C83" s="5"/>
      <c r="D83" s="9" t="s">
        <v>47</v>
      </c>
      <c r="E83" s="9" t="s">
        <v>48</v>
      </c>
      <c r="F83" s="10">
        <v>30</v>
      </c>
    </row>
    <row r="84" spans="1:6" x14ac:dyDescent="0.35">
      <c r="A84" s="5"/>
      <c r="B84" s="5"/>
      <c r="C84" s="5"/>
      <c r="D84" s="9" t="s">
        <v>49</v>
      </c>
      <c r="E84" s="9" t="s">
        <v>17</v>
      </c>
      <c r="F84" s="10">
        <v>20</v>
      </c>
    </row>
    <row r="85" spans="1:6" x14ac:dyDescent="0.35">
      <c r="A85" s="5"/>
      <c r="B85" s="5"/>
      <c r="C85" s="5"/>
      <c r="D85" s="9" t="s">
        <v>33</v>
      </c>
      <c r="E85" s="9" t="s">
        <v>17</v>
      </c>
      <c r="F85" s="10">
        <v>20</v>
      </c>
    </row>
    <row r="86" spans="1:6" x14ac:dyDescent="0.35">
      <c r="A86" s="5"/>
      <c r="B86" s="5"/>
      <c r="C86" s="5"/>
      <c r="D86" s="9" t="s">
        <v>50</v>
      </c>
      <c r="E86" s="9" t="s">
        <v>48</v>
      </c>
      <c r="F86" s="10">
        <v>30</v>
      </c>
    </row>
    <row r="87" spans="1:6" x14ac:dyDescent="0.35">
      <c r="A87" s="5"/>
      <c r="B87" s="5"/>
      <c r="C87" s="5"/>
      <c r="D87" s="9" t="s">
        <v>31</v>
      </c>
      <c r="E87" s="9" t="s">
        <v>68</v>
      </c>
      <c r="F87" s="10">
        <v>16</v>
      </c>
    </row>
    <row r="88" spans="1:6" ht="15" customHeight="1" x14ac:dyDescent="0.35">
      <c r="A88" s="4" t="s">
        <v>69</v>
      </c>
      <c r="B88" s="4" t="s">
        <v>9</v>
      </c>
      <c r="C88" s="4" t="s">
        <v>10</v>
      </c>
      <c r="D88" s="11" t="s">
        <v>11</v>
      </c>
      <c r="E88" s="11" t="s">
        <v>12</v>
      </c>
      <c r="F88" s="12">
        <v>5</v>
      </c>
    </row>
    <row r="89" spans="1:6" x14ac:dyDescent="0.35">
      <c r="A89" s="4"/>
      <c r="B89" s="4"/>
      <c r="C89" s="4"/>
      <c r="D89" s="11" t="s">
        <v>13</v>
      </c>
      <c r="E89" s="11" t="s">
        <v>14</v>
      </c>
      <c r="F89" s="12">
        <v>30</v>
      </c>
    </row>
    <row r="90" spans="1:6" x14ac:dyDescent="0.35">
      <c r="A90" s="4"/>
      <c r="B90" s="4"/>
      <c r="C90" s="4"/>
      <c r="D90" s="11" t="s">
        <v>16</v>
      </c>
      <c r="E90" s="11" t="s">
        <v>17</v>
      </c>
      <c r="F90" s="12">
        <v>20</v>
      </c>
    </row>
    <row r="91" spans="1:6" x14ac:dyDescent="0.35">
      <c r="A91" s="4"/>
      <c r="B91" s="4"/>
      <c r="C91" s="4"/>
      <c r="D91" s="11" t="s">
        <v>15</v>
      </c>
      <c r="E91" s="11" t="s">
        <v>22</v>
      </c>
      <c r="F91" s="12">
        <v>5</v>
      </c>
    </row>
    <row r="92" spans="1:6" x14ac:dyDescent="0.35">
      <c r="A92" s="4"/>
      <c r="B92" s="4"/>
      <c r="C92" s="4"/>
      <c r="D92" s="11" t="s">
        <v>70</v>
      </c>
      <c r="E92" s="11" t="s">
        <v>34</v>
      </c>
      <c r="F92" s="12">
        <v>8</v>
      </c>
    </row>
    <row r="93" spans="1:6" ht="15" customHeight="1" x14ac:dyDescent="0.35">
      <c r="A93" s="4"/>
      <c r="B93" s="4" t="s">
        <v>18</v>
      </c>
      <c r="C93" s="4" t="s">
        <v>19</v>
      </c>
      <c r="D93" s="11" t="s">
        <v>11</v>
      </c>
      <c r="E93" s="11" t="s">
        <v>20</v>
      </c>
      <c r="F93" s="12">
        <v>4</v>
      </c>
    </row>
    <row r="94" spans="1:6" x14ac:dyDescent="0.35">
      <c r="A94" s="4"/>
      <c r="B94" s="4"/>
      <c r="C94" s="4"/>
      <c r="D94" s="11" t="s">
        <v>13</v>
      </c>
      <c r="E94" s="11" t="s">
        <v>21</v>
      </c>
      <c r="F94" s="12">
        <v>10</v>
      </c>
    </row>
    <row r="95" spans="1:6" x14ac:dyDescent="0.35">
      <c r="A95" s="4"/>
      <c r="B95" s="4"/>
      <c r="C95" s="4"/>
      <c r="D95" s="11" t="s">
        <v>31</v>
      </c>
      <c r="E95" s="11" t="s">
        <v>32</v>
      </c>
      <c r="F95" s="12">
        <v>5</v>
      </c>
    </row>
    <row r="96" spans="1:6" ht="15" customHeight="1" x14ac:dyDescent="0.35">
      <c r="A96" s="4"/>
      <c r="B96" s="4" t="s">
        <v>23</v>
      </c>
      <c r="C96" s="4" t="s">
        <v>24</v>
      </c>
      <c r="D96" s="11" t="s">
        <v>11</v>
      </c>
      <c r="E96" s="11" t="s">
        <v>20</v>
      </c>
      <c r="F96" s="12">
        <v>4</v>
      </c>
    </row>
    <row r="97" spans="1:6" x14ac:dyDescent="0.35">
      <c r="A97" s="4"/>
      <c r="B97" s="4"/>
      <c r="C97" s="4"/>
      <c r="D97" s="11" t="s">
        <v>54</v>
      </c>
      <c r="E97" s="11" t="s">
        <v>55</v>
      </c>
      <c r="F97" s="12">
        <v>40</v>
      </c>
    </row>
    <row r="98" spans="1:6" x14ac:dyDescent="0.35">
      <c r="A98" s="4"/>
      <c r="B98" s="4"/>
      <c r="C98" s="4"/>
      <c r="D98" s="11" t="s">
        <v>25</v>
      </c>
      <c r="E98" s="11" t="s">
        <v>26</v>
      </c>
      <c r="F98" s="12">
        <v>6</v>
      </c>
    </row>
    <row r="99" spans="1:6" x14ac:dyDescent="0.35">
      <c r="A99" s="4"/>
      <c r="B99" s="4"/>
      <c r="C99" s="4"/>
      <c r="D99" s="11" t="s">
        <v>56</v>
      </c>
      <c r="E99" s="11" t="s">
        <v>57</v>
      </c>
      <c r="F99" s="12">
        <v>6</v>
      </c>
    </row>
    <row r="100" spans="1:6" x14ac:dyDescent="0.35">
      <c r="A100" s="4"/>
      <c r="B100" s="4"/>
      <c r="C100" s="4"/>
      <c r="D100" s="11" t="s">
        <v>58</v>
      </c>
      <c r="E100" s="11" t="s">
        <v>59</v>
      </c>
      <c r="F100" s="12">
        <v>10</v>
      </c>
    </row>
    <row r="101" spans="1:6" ht="15" customHeight="1" x14ac:dyDescent="0.35">
      <c r="A101" s="4"/>
      <c r="B101" s="4" t="s">
        <v>29</v>
      </c>
      <c r="C101" s="4" t="s">
        <v>30</v>
      </c>
      <c r="D101" s="11" t="s">
        <v>11</v>
      </c>
      <c r="E101" s="11" t="s">
        <v>20</v>
      </c>
      <c r="F101" s="12">
        <v>4</v>
      </c>
    </row>
    <row r="102" spans="1:6" x14ac:dyDescent="0.35">
      <c r="A102" s="4"/>
      <c r="B102" s="4"/>
      <c r="C102" s="4"/>
      <c r="D102" s="11" t="s">
        <v>13</v>
      </c>
      <c r="E102" s="11" t="s">
        <v>21</v>
      </c>
      <c r="F102" s="12">
        <v>10</v>
      </c>
    </row>
    <row r="103" spans="1:6" x14ac:dyDescent="0.35">
      <c r="A103" s="4"/>
      <c r="B103" s="4"/>
      <c r="C103" s="4"/>
      <c r="D103" s="11" t="s">
        <v>33</v>
      </c>
      <c r="E103" s="11" t="s">
        <v>34</v>
      </c>
      <c r="F103" s="12">
        <v>8</v>
      </c>
    </row>
    <row r="104" spans="1:6" ht="15" customHeight="1" x14ac:dyDescent="0.35">
      <c r="A104" s="4"/>
      <c r="B104" s="4" t="s">
        <v>35</v>
      </c>
      <c r="C104" s="4" t="s">
        <v>36</v>
      </c>
      <c r="D104" s="11" t="s">
        <v>11</v>
      </c>
      <c r="E104" s="11" t="s">
        <v>20</v>
      </c>
      <c r="F104" s="12">
        <v>4</v>
      </c>
    </row>
    <row r="105" spans="1:6" x14ac:dyDescent="0.35">
      <c r="A105" s="4"/>
      <c r="B105" s="4"/>
      <c r="C105" s="4"/>
      <c r="D105" s="11" t="s">
        <v>37</v>
      </c>
      <c r="E105" s="11" t="s">
        <v>38</v>
      </c>
      <c r="F105" s="12">
        <v>20</v>
      </c>
    </row>
    <row r="106" spans="1:6" x14ac:dyDescent="0.35">
      <c r="A106" s="4"/>
      <c r="B106" s="4"/>
      <c r="C106" s="4"/>
      <c r="D106" s="11" t="s">
        <v>39</v>
      </c>
      <c r="E106" s="11" t="s">
        <v>40</v>
      </c>
      <c r="F106" s="12">
        <v>6</v>
      </c>
    </row>
    <row r="107" spans="1:6" x14ac:dyDescent="0.35">
      <c r="A107" s="4"/>
      <c r="B107" s="4"/>
      <c r="C107" s="4"/>
      <c r="D107" s="11" t="s">
        <v>16</v>
      </c>
      <c r="E107" s="11" t="s">
        <v>34</v>
      </c>
      <c r="F107" s="12">
        <v>8</v>
      </c>
    </row>
    <row r="108" spans="1:6" ht="15" customHeight="1" x14ac:dyDescent="0.35">
      <c r="A108" s="4"/>
      <c r="B108" s="4" t="s">
        <v>41</v>
      </c>
      <c r="C108" s="4" t="s">
        <v>42</v>
      </c>
      <c r="D108" s="11" t="s">
        <v>11</v>
      </c>
      <c r="E108" s="11" t="s">
        <v>43</v>
      </c>
      <c r="F108" s="12">
        <v>8</v>
      </c>
    </row>
    <row r="109" spans="1:6" x14ac:dyDescent="0.35">
      <c r="A109" s="4"/>
      <c r="B109" s="4"/>
      <c r="C109" s="4"/>
      <c r="D109" s="11" t="s">
        <v>13</v>
      </c>
      <c r="E109" s="11" t="s">
        <v>44</v>
      </c>
      <c r="F109" s="12">
        <v>24</v>
      </c>
    </row>
    <row r="110" spans="1:6" x14ac:dyDescent="0.35">
      <c r="A110" s="4"/>
      <c r="B110" s="4"/>
      <c r="C110" s="4"/>
      <c r="D110" s="11" t="s">
        <v>45</v>
      </c>
      <c r="E110" s="11" t="s">
        <v>46</v>
      </c>
      <c r="F110" s="12">
        <v>15</v>
      </c>
    </row>
    <row r="111" spans="1:6" x14ac:dyDescent="0.35">
      <c r="A111" s="4"/>
      <c r="B111" s="4"/>
      <c r="C111" s="4"/>
      <c r="D111" s="11" t="s">
        <v>47</v>
      </c>
      <c r="E111" s="11" t="s">
        <v>48</v>
      </c>
      <c r="F111" s="12">
        <v>30</v>
      </c>
    </row>
    <row r="112" spans="1:6" x14ac:dyDescent="0.35">
      <c r="A112" s="4"/>
      <c r="B112" s="4"/>
      <c r="C112" s="4"/>
      <c r="D112" s="11" t="s">
        <v>49</v>
      </c>
      <c r="E112" s="11" t="s">
        <v>17</v>
      </c>
      <c r="F112" s="12">
        <v>20</v>
      </c>
    </row>
    <row r="113" spans="1:6" x14ac:dyDescent="0.35">
      <c r="A113" s="4"/>
      <c r="B113" s="4"/>
      <c r="C113" s="4"/>
      <c r="D113" s="11" t="s">
        <v>33</v>
      </c>
      <c r="E113" s="11" t="s">
        <v>17</v>
      </c>
      <c r="F113" s="12">
        <v>20</v>
      </c>
    </row>
    <row r="114" spans="1:6" x14ac:dyDescent="0.35">
      <c r="A114" s="4"/>
      <c r="B114" s="4"/>
      <c r="C114" s="4"/>
      <c r="D114" s="11" t="s">
        <v>50</v>
      </c>
      <c r="E114" s="11" t="s">
        <v>48</v>
      </c>
      <c r="F114" s="12">
        <v>30</v>
      </c>
    </row>
    <row r="115" spans="1:6" x14ac:dyDescent="0.35">
      <c r="A115" s="4"/>
      <c r="B115" s="4"/>
      <c r="C115" s="4"/>
      <c r="D115" s="11" t="s">
        <v>15</v>
      </c>
      <c r="E115" s="11" t="s">
        <v>61</v>
      </c>
      <c r="F115" s="12">
        <v>20</v>
      </c>
    </row>
    <row r="116" spans="1:6" x14ac:dyDescent="0.35">
      <c r="A116" s="4"/>
      <c r="B116" s="4"/>
      <c r="C116" s="4"/>
      <c r="D116" s="11" t="s">
        <v>70</v>
      </c>
      <c r="E116" s="11" t="s">
        <v>17</v>
      </c>
      <c r="F116" s="12">
        <v>20</v>
      </c>
    </row>
    <row r="117" spans="1:6" x14ac:dyDescent="0.35">
      <c r="A117" s="4"/>
      <c r="B117" s="4"/>
      <c r="C117" s="4"/>
      <c r="D117" s="11" t="s">
        <v>62</v>
      </c>
      <c r="E117" s="11" t="s">
        <v>63</v>
      </c>
      <c r="F117" s="12">
        <v>10</v>
      </c>
    </row>
    <row r="118" spans="1:6" x14ac:dyDescent="0.35">
      <c r="A118" s="4"/>
      <c r="B118" s="4"/>
      <c r="C118" s="4"/>
      <c r="D118" s="11" t="s">
        <v>64</v>
      </c>
      <c r="E118" s="11" t="s">
        <v>63</v>
      </c>
      <c r="F118" s="12">
        <v>10</v>
      </c>
    </row>
    <row r="119" spans="1:6" ht="15" customHeight="1" x14ac:dyDescent="0.35">
      <c r="A119" s="5" t="s">
        <v>71</v>
      </c>
      <c r="B119" s="5" t="s">
        <v>9</v>
      </c>
      <c r="C119" s="5" t="s">
        <v>10</v>
      </c>
      <c r="D119" s="9" t="s">
        <v>11</v>
      </c>
      <c r="E119" s="9" t="s">
        <v>12</v>
      </c>
      <c r="F119" s="10">
        <v>5</v>
      </c>
    </row>
    <row r="120" spans="1:6" x14ac:dyDescent="0.35">
      <c r="A120" s="5"/>
      <c r="B120" s="5"/>
      <c r="C120" s="5"/>
      <c r="D120" s="9" t="s">
        <v>13</v>
      </c>
      <c r="E120" s="9" t="s">
        <v>14</v>
      </c>
      <c r="F120" s="10">
        <v>30</v>
      </c>
    </row>
    <row r="121" spans="1:6" x14ac:dyDescent="0.35">
      <c r="A121" s="5"/>
      <c r="B121" s="5"/>
      <c r="C121" s="5"/>
      <c r="D121" s="9" t="s">
        <v>15</v>
      </c>
      <c r="E121" s="9" t="s">
        <v>14</v>
      </c>
      <c r="F121" s="10">
        <v>30</v>
      </c>
    </row>
    <row r="122" spans="1:6" x14ac:dyDescent="0.35">
      <c r="A122" s="5"/>
      <c r="B122" s="5"/>
      <c r="C122" s="5"/>
      <c r="D122" s="9" t="s">
        <v>16</v>
      </c>
      <c r="E122" s="9" t="s">
        <v>17</v>
      </c>
      <c r="F122" s="10">
        <v>20</v>
      </c>
    </row>
    <row r="123" spans="1:6" x14ac:dyDescent="0.35">
      <c r="A123" s="5"/>
      <c r="B123" s="5"/>
      <c r="C123" s="5"/>
      <c r="D123" s="9" t="s">
        <v>52</v>
      </c>
      <c r="E123" s="9" t="s">
        <v>53</v>
      </c>
      <c r="F123" s="10">
        <v>15</v>
      </c>
    </row>
    <row r="124" spans="1:6" x14ac:dyDescent="0.35">
      <c r="A124" s="5"/>
      <c r="B124" s="5"/>
      <c r="C124" s="5"/>
      <c r="D124" s="9" t="s">
        <v>62</v>
      </c>
      <c r="E124" s="9" t="s">
        <v>66</v>
      </c>
      <c r="F124" s="10">
        <v>1</v>
      </c>
    </row>
    <row r="125" spans="1:6" x14ac:dyDescent="0.35">
      <c r="A125" s="5"/>
      <c r="B125" s="5"/>
      <c r="C125" s="5"/>
      <c r="D125" s="9" t="s">
        <v>64</v>
      </c>
      <c r="E125" s="9" t="s">
        <v>66</v>
      </c>
      <c r="F125" s="10">
        <v>1</v>
      </c>
    </row>
    <row r="126" spans="1:6" ht="15" customHeight="1" x14ac:dyDescent="0.35">
      <c r="A126" s="5"/>
      <c r="B126" s="5" t="s">
        <v>18</v>
      </c>
      <c r="C126" s="5" t="s">
        <v>19</v>
      </c>
      <c r="D126" s="9" t="s">
        <v>11</v>
      </c>
      <c r="E126" s="9" t="s">
        <v>20</v>
      </c>
      <c r="F126" s="10">
        <v>4</v>
      </c>
    </row>
    <row r="127" spans="1:6" x14ac:dyDescent="0.35">
      <c r="A127" s="5"/>
      <c r="B127" s="5"/>
      <c r="C127" s="5"/>
      <c r="D127" s="9" t="s">
        <v>13</v>
      </c>
      <c r="E127" s="9" t="s">
        <v>21</v>
      </c>
      <c r="F127" s="10">
        <v>10</v>
      </c>
    </row>
    <row r="128" spans="1:6" x14ac:dyDescent="0.35">
      <c r="A128" s="5"/>
      <c r="B128" s="5"/>
      <c r="C128" s="5"/>
      <c r="D128" s="9" t="s">
        <v>15</v>
      </c>
      <c r="E128" s="9" t="s">
        <v>22</v>
      </c>
      <c r="F128" s="10">
        <v>5</v>
      </c>
    </row>
    <row r="129" spans="1:6" ht="15" customHeight="1" x14ac:dyDescent="0.35">
      <c r="A129" s="5"/>
      <c r="B129" s="5" t="s">
        <v>23</v>
      </c>
      <c r="C129" s="5" t="s">
        <v>24</v>
      </c>
      <c r="D129" s="9" t="s">
        <v>11</v>
      </c>
      <c r="E129" s="9" t="s">
        <v>20</v>
      </c>
      <c r="F129" s="10">
        <v>4</v>
      </c>
    </row>
    <row r="130" spans="1:6" x14ac:dyDescent="0.35">
      <c r="A130" s="5"/>
      <c r="B130" s="5"/>
      <c r="C130" s="5"/>
      <c r="D130" s="9" t="s">
        <v>25</v>
      </c>
      <c r="E130" s="9" t="s">
        <v>26</v>
      </c>
      <c r="F130" s="10">
        <v>6</v>
      </c>
    </row>
    <row r="131" spans="1:6" x14ac:dyDescent="0.35">
      <c r="A131" s="5"/>
      <c r="B131" s="5"/>
      <c r="C131" s="5"/>
      <c r="D131" s="9" t="s">
        <v>27</v>
      </c>
      <c r="E131" s="9" t="s">
        <v>28</v>
      </c>
      <c r="F131" s="10">
        <v>8</v>
      </c>
    </row>
    <row r="132" spans="1:6" x14ac:dyDescent="0.35">
      <c r="A132" s="5"/>
      <c r="B132" s="5"/>
      <c r="C132" s="5"/>
      <c r="D132" s="9" t="s">
        <v>58</v>
      </c>
      <c r="E132" s="9" t="s">
        <v>59</v>
      </c>
      <c r="F132" s="10">
        <v>10</v>
      </c>
    </row>
    <row r="133" spans="1:6" ht="15" customHeight="1" x14ac:dyDescent="0.35">
      <c r="A133" s="5"/>
      <c r="B133" s="5" t="s">
        <v>29</v>
      </c>
      <c r="C133" s="5" t="s">
        <v>30</v>
      </c>
      <c r="D133" s="9" t="s">
        <v>11</v>
      </c>
      <c r="E133" s="9" t="s">
        <v>20</v>
      </c>
      <c r="F133" s="10">
        <v>4</v>
      </c>
    </row>
    <row r="134" spans="1:6" x14ac:dyDescent="0.35">
      <c r="A134" s="5"/>
      <c r="B134" s="5"/>
      <c r="C134" s="5"/>
      <c r="D134" s="9" t="s">
        <v>13</v>
      </c>
      <c r="E134" s="9" t="s">
        <v>21</v>
      </c>
      <c r="F134" s="10">
        <v>10</v>
      </c>
    </row>
    <row r="135" spans="1:6" x14ac:dyDescent="0.35">
      <c r="A135" s="5"/>
      <c r="B135" s="5"/>
      <c r="C135" s="5"/>
      <c r="D135" s="9" t="s">
        <v>49</v>
      </c>
      <c r="E135" s="9" t="s">
        <v>40</v>
      </c>
      <c r="F135" s="10">
        <v>6</v>
      </c>
    </row>
    <row r="136" spans="1:6" x14ac:dyDescent="0.35">
      <c r="A136" s="5"/>
      <c r="B136" s="5"/>
      <c r="C136" s="5"/>
      <c r="D136" s="9" t="s">
        <v>31</v>
      </c>
      <c r="E136" s="9" t="s">
        <v>32</v>
      </c>
      <c r="F136" s="10">
        <v>5</v>
      </c>
    </row>
    <row r="137" spans="1:6" ht="15" customHeight="1" x14ac:dyDescent="0.35">
      <c r="A137" s="5"/>
      <c r="B137" s="5" t="s">
        <v>35</v>
      </c>
      <c r="C137" s="5" t="s">
        <v>36</v>
      </c>
      <c r="D137" s="9" t="s">
        <v>11</v>
      </c>
      <c r="E137" s="9" t="s">
        <v>20</v>
      </c>
      <c r="F137" s="10">
        <v>4</v>
      </c>
    </row>
    <row r="138" spans="1:6" x14ac:dyDescent="0.35">
      <c r="A138" s="5"/>
      <c r="B138" s="5"/>
      <c r="C138" s="5"/>
      <c r="D138" s="9" t="s">
        <v>37</v>
      </c>
      <c r="E138" s="9" t="s">
        <v>38</v>
      </c>
      <c r="F138" s="10">
        <v>20</v>
      </c>
    </row>
    <row r="139" spans="1:6" x14ac:dyDescent="0.35">
      <c r="A139" s="5"/>
      <c r="B139" s="5"/>
      <c r="C139" s="5"/>
      <c r="D139" s="9" t="s">
        <v>16</v>
      </c>
      <c r="E139" s="9" t="s">
        <v>34</v>
      </c>
      <c r="F139" s="10">
        <v>8</v>
      </c>
    </row>
    <row r="140" spans="1:6" x14ac:dyDescent="0.35">
      <c r="A140" s="5"/>
      <c r="B140" s="5"/>
      <c r="C140" s="5"/>
      <c r="D140" s="9" t="s">
        <v>50</v>
      </c>
      <c r="E140" s="9" t="s">
        <v>67</v>
      </c>
      <c r="F140" s="10">
        <v>12</v>
      </c>
    </row>
    <row r="141" spans="1:6" ht="15" customHeight="1" x14ac:dyDescent="0.35">
      <c r="A141" s="5"/>
      <c r="B141" s="5" t="s">
        <v>41</v>
      </c>
      <c r="C141" s="5" t="s">
        <v>42</v>
      </c>
      <c r="D141" s="9" t="s">
        <v>11</v>
      </c>
      <c r="E141" s="9" t="s">
        <v>43</v>
      </c>
      <c r="F141" s="10">
        <v>8</v>
      </c>
    </row>
    <row r="142" spans="1:6" x14ac:dyDescent="0.35">
      <c r="A142" s="5"/>
      <c r="B142" s="5"/>
      <c r="C142" s="5"/>
      <c r="D142" s="9" t="s">
        <v>13</v>
      </c>
      <c r="E142" s="9" t="s">
        <v>44</v>
      </c>
      <c r="F142" s="10">
        <v>24</v>
      </c>
    </row>
    <row r="143" spans="1:6" x14ac:dyDescent="0.35">
      <c r="A143" s="5"/>
      <c r="B143" s="5"/>
      <c r="C143" s="5"/>
      <c r="D143" s="9" t="s">
        <v>45</v>
      </c>
      <c r="E143" s="9" t="s">
        <v>46</v>
      </c>
      <c r="F143" s="10">
        <v>15</v>
      </c>
    </row>
    <row r="144" spans="1:6" x14ac:dyDescent="0.35">
      <c r="A144" s="5"/>
      <c r="B144" s="5"/>
      <c r="C144" s="5"/>
      <c r="D144" s="9" t="s">
        <v>47</v>
      </c>
      <c r="E144" s="9" t="s">
        <v>48</v>
      </c>
      <c r="F144" s="10">
        <v>30</v>
      </c>
    </row>
    <row r="145" spans="1:6" x14ac:dyDescent="0.35">
      <c r="A145" s="5"/>
      <c r="B145" s="5"/>
      <c r="C145" s="5"/>
      <c r="D145" s="9" t="s">
        <v>49</v>
      </c>
      <c r="E145" s="9" t="s">
        <v>17</v>
      </c>
      <c r="F145" s="10">
        <v>20</v>
      </c>
    </row>
    <row r="146" spans="1:6" x14ac:dyDescent="0.35">
      <c r="A146" s="5"/>
      <c r="B146" s="5"/>
      <c r="C146" s="5"/>
      <c r="D146" s="9" t="s">
        <v>33</v>
      </c>
      <c r="E146" s="9" t="s">
        <v>17</v>
      </c>
      <c r="F146" s="10">
        <v>20</v>
      </c>
    </row>
    <row r="147" spans="1:6" x14ac:dyDescent="0.35">
      <c r="A147" s="5"/>
      <c r="B147" s="5"/>
      <c r="C147" s="5"/>
      <c r="D147" s="9" t="s">
        <v>50</v>
      </c>
      <c r="E147" s="9" t="s">
        <v>48</v>
      </c>
      <c r="F147" s="10">
        <v>30</v>
      </c>
    </row>
    <row r="148" spans="1:6" x14ac:dyDescent="0.35">
      <c r="A148" s="5"/>
      <c r="B148" s="5"/>
      <c r="C148" s="5"/>
      <c r="D148" s="9" t="s">
        <v>39</v>
      </c>
      <c r="E148" s="9" t="s">
        <v>72</v>
      </c>
      <c r="F148" s="10">
        <v>10</v>
      </c>
    </row>
    <row r="149" spans="1:6" ht="15" customHeight="1" x14ac:dyDescent="0.35">
      <c r="A149" s="4" t="s">
        <v>73</v>
      </c>
      <c r="B149" s="4" t="s">
        <v>9</v>
      </c>
      <c r="C149" s="4" t="s">
        <v>10</v>
      </c>
      <c r="D149" s="11" t="s">
        <v>11</v>
      </c>
      <c r="E149" s="11" t="s">
        <v>12</v>
      </c>
      <c r="F149" s="12">
        <v>5</v>
      </c>
    </row>
    <row r="150" spans="1:6" x14ac:dyDescent="0.35">
      <c r="A150" s="4"/>
      <c r="B150" s="4"/>
      <c r="C150" s="4"/>
      <c r="D150" s="11" t="s">
        <v>13</v>
      </c>
      <c r="E150" s="11" t="s">
        <v>14</v>
      </c>
      <c r="F150" s="12">
        <v>30</v>
      </c>
    </row>
    <row r="151" spans="1:6" x14ac:dyDescent="0.35">
      <c r="A151" s="4"/>
      <c r="B151" s="4"/>
      <c r="C151" s="4"/>
      <c r="D151" s="11" t="s">
        <v>16</v>
      </c>
      <c r="E151" s="11" t="s">
        <v>17</v>
      </c>
      <c r="F151" s="12">
        <v>20</v>
      </c>
    </row>
    <row r="152" spans="1:6" x14ac:dyDescent="0.35">
      <c r="A152" s="4"/>
      <c r="B152" s="4"/>
      <c r="C152" s="4"/>
      <c r="D152" s="11" t="s">
        <v>15</v>
      </c>
      <c r="E152" s="11" t="s">
        <v>22</v>
      </c>
      <c r="F152" s="12">
        <v>5</v>
      </c>
    </row>
    <row r="153" spans="1:6" x14ac:dyDescent="0.35">
      <c r="A153" s="4"/>
      <c r="B153" s="4"/>
      <c r="C153" s="4"/>
      <c r="D153" s="11" t="s">
        <v>56</v>
      </c>
      <c r="E153" s="11" t="s">
        <v>57</v>
      </c>
      <c r="F153" s="12">
        <v>6</v>
      </c>
    </row>
    <row r="154" spans="1:6" ht="15" customHeight="1" x14ac:dyDescent="0.35">
      <c r="A154" s="4"/>
      <c r="B154" s="4" t="s">
        <v>18</v>
      </c>
      <c r="C154" s="4" t="s">
        <v>19</v>
      </c>
      <c r="D154" s="11" t="s">
        <v>11</v>
      </c>
      <c r="E154" s="11" t="s">
        <v>20</v>
      </c>
      <c r="F154" s="12">
        <v>4</v>
      </c>
    </row>
    <row r="155" spans="1:6" x14ac:dyDescent="0.35">
      <c r="A155" s="4"/>
      <c r="B155" s="4"/>
      <c r="C155" s="4"/>
      <c r="D155" s="11" t="s">
        <v>13</v>
      </c>
      <c r="E155" s="11" t="s">
        <v>21</v>
      </c>
      <c r="F155" s="12">
        <v>10</v>
      </c>
    </row>
    <row r="156" spans="1:6" x14ac:dyDescent="0.35">
      <c r="A156" s="4"/>
      <c r="B156" s="4"/>
      <c r="C156" s="4"/>
      <c r="D156" s="11" t="s">
        <v>33</v>
      </c>
      <c r="E156" s="11" t="s">
        <v>34</v>
      </c>
      <c r="F156" s="12">
        <v>8</v>
      </c>
    </row>
    <row r="157" spans="1:6" ht="15" customHeight="1" x14ac:dyDescent="0.35">
      <c r="A157" s="4"/>
      <c r="B157" s="4" t="s">
        <v>23</v>
      </c>
      <c r="C157" s="4" t="s">
        <v>24</v>
      </c>
      <c r="D157" s="11" t="s">
        <v>11</v>
      </c>
      <c r="E157" s="11" t="s">
        <v>20</v>
      </c>
      <c r="F157" s="12">
        <v>4</v>
      </c>
    </row>
    <row r="158" spans="1:6" x14ac:dyDescent="0.35">
      <c r="A158" s="4"/>
      <c r="B158" s="4"/>
      <c r="C158" s="4"/>
      <c r="D158" s="11" t="s">
        <v>25</v>
      </c>
      <c r="E158" s="11" t="s">
        <v>26</v>
      </c>
      <c r="F158" s="12">
        <v>6</v>
      </c>
    </row>
    <row r="159" spans="1:6" x14ac:dyDescent="0.35">
      <c r="A159" s="4"/>
      <c r="B159" s="4"/>
      <c r="C159" s="4"/>
      <c r="D159" s="11" t="s">
        <v>39</v>
      </c>
      <c r="E159" s="11" t="s">
        <v>40</v>
      </c>
      <c r="F159" s="12">
        <v>6</v>
      </c>
    </row>
    <row r="160" spans="1:6" ht="15" customHeight="1" x14ac:dyDescent="0.35">
      <c r="A160" s="4"/>
      <c r="B160" s="4" t="s">
        <v>29</v>
      </c>
      <c r="C160" s="4" t="s">
        <v>30</v>
      </c>
      <c r="D160" s="11" t="s">
        <v>11</v>
      </c>
      <c r="E160" s="11" t="s">
        <v>20</v>
      </c>
      <c r="F160" s="12">
        <v>4</v>
      </c>
    </row>
    <row r="161" spans="1:6" x14ac:dyDescent="0.35">
      <c r="A161" s="4"/>
      <c r="B161" s="4"/>
      <c r="C161" s="4"/>
      <c r="D161" s="11" t="s">
        <v>13</v>
      </c>
      <c r="E161" s="11" t="s">
        <v>21</v>
      </c>
      <c r="F161" s="12">
        <v>10</v>
      </c>
    </row>
    <row r="162" spans="1:6" x14ac:dyDescent="0.35">
      <c r="A162" s="4"/>
      <c r="B162" s="4"/>
      <c r="C162" s="4"/>
      <c r="D162" s="11" t="s">
        <v>31</v>
      </c>
      <c r="E162" s="11" t="s">
        <v>32</v>
      </c>
      <c r="F162" s="12">
        <v>5</v>
      </c>
    </row>
    <row r="163" spans="1:6" x14ac:dyDescent="0.35">
      <c r="A163" s="4"/>
      <c r="B163" s="4"/>
      <c r="C163" s="4"/>
      <c r="D163" s="11" t="s">
        <v>49</v>
      </c>
      <c r="E163" s="11" t="s">
        <v>40</v>
      </c>
      <c r="F163" s="12">
        <v>6</v>
      </c>
    </row>
    <row r="164" spans="1:6" ht="15" customHeight="1" x14ac:dyDescent="0.35">
      <c r="A164" s="4"/>
      <c r="B164" s="4" t="s">
        <v>35</v>
      </c>
      <c r="C164" s="4" t="s">
        <v>36</v>
      </c>
      <c r="D164" s="11" t="s">
        <v>11</v>
      </c>
      <c r="E164" s="11" t="s">
        <v>20</v>
      </c>
      <c r="F164" s="12">
        <v>4</v>
      </c>
    </row>
    <row r="165" spans="1:6" x14ac:dyDescent="0.35">
      <c r="A165" s="4"/>
      <c r="B165" s="4"/>
      <c r="C165" s="4"/>
      <c r="D165" s="11" t="s">
        <v>37</v>
      </c>
      <c r="E165" s="11" t="s">
        <v>38</v>
      </c>
      <c r="F165" s="12">
        <v>20</v>
      </c>
    </row>
    <row r="166" spans="1:6" x14ac:dyDescent="0.35">
      <c r="A166" s="4"/>
      <c r="B166" s="4"/>
      <c r="C166" s="4"/>
      <c r="D166" s="11" t="s">
        <v>50</v>
      </c>
      <c r="E166" s="11" t="s">
        <v>67</v>
      </c>
      <c r="F166" s="12">
        <v>12</v>
      </c>
    </row>
    <row r="167" spans="1:6" ht="15" customHeight="1" x14ac:dyDescent="0.35">
      <c r="A167" s="4"/>
      <c r="B167" s="4" t="s">
        <v>41</v>
      </c>
      <c r="C167" s="4" t="s">
        <v>42</v>
      </c>
      <c r="D167" s="11" t="s">
        <v>11</v>
      </c>
      <c r="E167" s="11" t="s">
        <v>43</v>
      </c>
      <c r="F167" s="12">
        <v>8</v>
      </c>
    </row>
    <row r="168" spans="1:6" x14ac:dyDescent="0.35">
      <c r="A168" s="4"/>
      <c r="B168" s="4"/>
      <c r="C168" s="4"/>
      <c r="D168" s="11" t="s">
        <v>13</v>
      </c>
      <c r="E168" s="11" t="s">
        <v>44</v>
      </c>
      <c r="F168" s="12">
        <v>24</v>
      </c>
    </row>
    <row r="169" spans="1:6" x14ac:dyDescent="0.35">
      <c r="A169" s="4"/>
      <c r="B169" s="4"/>
      <c r="C169" s="4"/>
      <c r="D169" s="11" t="s">
        <v>45</v>
      </c>
      <c r="E169" s="11" t="s">
        <v>46</v>
      </c>
      <c r="F169" s="12">
        <v>15</v>
      </c>
    </row>
    <row r="170" spans="1:6" x14ac:dyDescent="0.35">
      <c r="A170" s="4"/>
      <c r="B170" s="4"/>
      <c r="C170" s="4"/>
      <c r="D170" s="11" t="s">
        <v>47</v>
      </c>
      <c r="E170" s="11" t="s">
        <v>48</v>
      </c>
      <c r="F170" s="12">
        <v>30</v>
      </c>
    </row>
    <row r="171" spans="1:6" x14ac:dyDescent="0.35">
      <c r="A171" s="4"/>
      <c r="B171" s="4"/>
      <c r="C171" s="4"/>
      <c r="D171" s="11" t="s">
        <v>49</v>
      </c>
      <c r="E171" s="11" t="s">
        <v>17</v>
      </c>
      <c r="F171" s="12">
        <v>20</v>
      </c>
    </row>
    <row r="172" spans="1:6" x14ac:dyDescent="0.35">
      <c r="A172" s="4"/>
      <c r="B172" s="4"/>
      <c r="C172" s="4"/>
      <c r="D172" s="11" t="s">
        <v>33</v>
      </c>
      <c r="E172" s="11" t="s">
        <v>17</v>
      </c>
      <c r="F172" s="12">
        <v>20</v>
      </c>
    </row>
    <row r="173" spans="1:6" x14ac:dyDescent="0.35">
      <c r="A173" s="4"/>
      <c r="B173" s="4"/>
      <c r="C173" s="4"/>
      <c r="D173" s="11" t="s">
        <v>50</v>
      </c>
      <c r="E173" s="11" t="s">
        <v>48</v>
      </c>
      <c r="F173" s="12">
        <v>30</v>
      </c>
    </row>
    <row r="174" spans="1:6" x14ac:dyDescent="0.35">
      <c r="A174" s="4"/>
      <c r="B174" s="4"/>
      <c r="C174" s="4"/>
      <c r="D174" s="11" t="s">
        <v>31</v>
      </c>
      <c r="E174" s="11" t="s">
        <v>68</v>
      </c>
      <c r="F174" s="12">
        <v>16</v>
      </c>
    </row>
    <row r="175" spans="1:6" x14ac:dyDescent="0.35">
      <c r="A175" s="4"/>
      <c r="B175" s="4"/>
      <c r="C175" s="4"/>
      <c r="D175" s="11" t="s">
        <v>39</v>
      </c>
      <c r="E175" s="11" t="s">
        <v>72</v>
      </c>
      <c r="F175" s="12">
        <v>10</v>
      </c>
    </row>
    <row r="176" spans="1:6" x14ac:dyDescent="0.35">
      <c r="A176" s="4"/>
      <c r="B176" s="4"/>
      <c r="C176" s="4"/>
      <c r="D176" s="11" t="s">
        <v>70</v>
      </c>
      <c r="E176" s="11" t="s">
        <v>17</v>
      </c>
      <c r="F176" s="12">
        <v>20</v>
      </c>
    </row>
    <row r="177" spans="1:6" x14ac:dyDescent="0.35">
      <c r="A177" s="4"/>
      <c r="B177" s="4"/>
      <c r="C177" s="4"/>
      <c r="D177" s="11" t="s">
        <v>37</v>
      </c>
      <c r="E177" s="11" t="s">
        <v>74</v>
      </c>
      <c r="F177" s="12">
        <v>75</v>
      </c>
    </row>
    <row r="178" spans="1:6" x14ac:dyDescent="0.35">
      <c r="A178" s="4"/>
      <c r="B178" s="4"/>
      <c r="C178" s="4"/>
      <c r="D178" s="11" t="s">
        <v>27</v>
      </c>
      <c r="E178" s="11" t="s">
        <v>28</v>
      </c>
      <c r="F178" s="12">
        <v>8</v>
      </c>
    </row>
    <row r="179" spans="1:6" x14ac:dyDescent="0.35">
      <c r="A179" s="4"/>
      <c r="B179" s="4"/>
      <c r="C179" s="4"/>
      <c r="D179" s="11" t="s">
        <v>25</v>
      </c>
      <c r="E179" s="11" t="s">
        <v>26</v>
      </c>
      <c r="F179" s="12">
        <v>6</v>
      </c>
    </row>
    <row r="180" spans="1:6" x14ac:dyDescent="0.35">
      <c r="A180" s="4"/>
      <c r="B180" s="4"/>
      <c r="C180" s="4"/>
      <c r="D180" s="11" t="s">
        <v>60</v>
      </c>
      <c r="E180" s="11" t="s">
        <v>59</v>
      </c>
      <c r="F180" s="12">
        <v>10</v>
      </c>
    </row>
    <row r="181" spans="1:6" x14ac:dyDescent="0.35">
      <c r="A181" s="4"/>
      <c r="B181" s="4"/>
      <c r="C181" s="4"/>
      <c r="D181" s="11" t="s">
        <v>58</v>
      </c>
      <c r="E181" s="11" t="s">
        <v>59</v>
      </c>
      <c r="F181" s="12">
        <v>10</v>
      </c>
    </row>
    <row r="182" spans="1:6" x14ac:dyDescent="0.35">
      <c r="A182" s="4"/>
      <c r="B182" s="4"/>
      <c r="C182" s="4"/>
      <c r="D182" s="11" t="s">
        <v>56</v>
      </c>
      <c r="E182" s="11" t="s">
        <v>57</v>
      </c>
      <c r="F182" s="12">
        <v>6</v>
      </c>
    </row>
    <row r="183" spans="1:6" x14ac:dyDescent="0.35">
      <c r="A183" s="4"/>
      <c r="B183" s="4"/>
      <c r="C183" s="4"/>
      <c r="D183" s="11" t="s">
        <v>16</v>
      </c>
      <c r="E183" s="11" t="s">
        <v>17</v>
      </c>
      <c r="F183" s="12">
        <v>20</v>
      </c>
    </row>
    <row r="184" spans="1:6" x14ac:dyDescent="0.35">
      <c r="A184" s="4"/>
      <c r="B184" s="4"/>
      <c r="C184" s="4"/>
      <c r="D184" s="11" t="s">
        <v>15</v>
      </c>
      <c r="E184" s="11" t="s">
        <v>61</v>
      </c>
      <c r="F184" s="12">
        <v>20</v>
      </c>
    </row>
    <row r="185" spans="1:6" x14ac:dyDescent="0.35">
      <c r="A185" s="4"/>
      <c r="B185" s="4"/>
      <c r="C185" s="4"/>
      <c r="D185" s="11" t="s">
        <v>62</v>
      </c>
      <c r="E185" s="11" t="s">
        <v>63</v>
      </c>
      <c r="F185" s="12">
        <v>10</v>
      </c>
    </row>
    <row r="186" spans="1:6" x14ac:dyDescent="0.35">
      <c r="A186" s="4"/>
      <c r="B186" s="4"/>
      <c r="C186" s="4"/>
      <c r="D186" s="11" t="s">
        <v>64</v>
      </c>
      <c r="E186" s="11" t="s">
        <v>63</v>
      </c>
      <c r="F186" s="12">
        <v>10</v>
      </c>
    </row>
  </sheetData>
  <mergeCells count="80">
    <mergeCell ref="A149:A186"/>
    <mergeCell ref="B149:B153"/>
    <mergeCell ref="C149:C153"/>
    <mergeCell ref="B154:B156"/>
    <mergeCell ref="C154:C156"/>
    <mergeCell ref="B157:B159"/>
    <mergeCell ref="C157:C159"/>
    <mergeCell ref="B160:B163"/>
    <mergeCell ref="C160:C163"/>
    <mergeCell ref="B164:B166"/>
    <mergeCell ref="C164:C166"/>
    <mergeCell ref="B167:B186"/>
    <mergeCell ref="C167:C186"/>
    <mergeCell ref="A119:A148"/>
    <mergeCell ref="B119:B125"/>
    <mergeCell ref="C119:C125"/>
    <mergeCell ref="B126:B128"/>
    <mergeCell ref="C126:C128"/>
    <mergeCell ref="B129:B132"/>
    <mergeCell ref="C129:C132"/>
    <mergeCell ref="B133:B136"/>
    <mergeCell ref="C133:C136"/>
    <mergeCell ref="B137:B140"/>
    <mergeCell ref="C137:C140"/>
    <mergeCell ref="B141:B148"/>
    <mergeCell ref="C141:C148"/>
    <mergeCell ref="A88:A118"/>
    <mergeCell ref="B88:B92"/>
    <mergeCell ref="C88:C92"/>
    <mergeCell ref="B93:B95"/>
    <mergeCell ref="C93:C95"/>
    <mergeCell ref="B96:B100"/>
    <mergeCell ref="C96:C100"/>
    <mergeCell ref="B101:B103"/>
    <mergeCell ref="C101:C103"/>
    <mergeCell ref="B104:B107"/>
    <mergeCell ref="C104:C107"/>
    <mergeCell ref="B108:B118"/>
    <mergeCell ref="C108:C118"/>
    <mergeCell ref="A59:A87"/>
    <mergeCell ref="B59:B64"/>
    <mergeCell ref="C59:C64"/>
    <mergeCell ref="B65:B67"/>
    <mergeCell ref="C65:C67"/>
    <mergeCell ref="B68:B72"/>
    <mergeCell ref="C68:C72"/>
    <mergeCell ref="B73:B75"/>
    <mergeCell ref="C73:C75"/>
    <mergeCell ref="B76:B79"/>
    <mergeCell ref="C76:C79"/>
    <mergeCell ref="B80:B87"/>
    <mergeCell ref="C80:C87"/>
    <mergeCell ref="A29:A58"/>
    <mergeCell ref="B29:B33"/>
    <mergeCell ref="C29:C33"/>
    <mergeCell ref="B34:B36"/>
    <mergeCell ref="C34:C36"/>
    <mergeCell ref="B37:B41"/>
    <mergeCell ref="C37:C41"/>
    <mergeCell ref="B42:B44"/>
    <mergeCell ref="C42:C44"/>
    <mergeCell ref="B45:B48"/>
    <mergeCell ref="C45:C48"/>
    <mergeCell ref="B49:B58"/>
    <mergeCell ref="C49:C58"/>
    <mergeCell ref="A1:F1"/>
    <mergeCell ref="A2:F2"/>
    <mergeCell ref="A5:A28"/>
    <mergeCell ref="B5:B8"/>
    <mergeCell ref="C5:C8"/>
    <mergeCell ref="B9:B11"/>
    <mergeCell ref="C9:C11"/>
    <mergeCell ref="B12:B14"/>
    <mergeCell ref="C12:C14"/>
    <mergeCell ref="B15:B18"/>
    <mergeCell ref="C15:C18"/>
    <mergeCell ref="B19:B21"/>
    <mergeCell ref="C19:C21"/>
    <mergeCell ref="B22:B28"/>
    <mergeCell ref="C22:C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18" customWidth="1"/>
    <col min="2" max="2" width="12" customWidth="1"/>
    <col min="3" max="8" width="38" customWidth="1"/>
  </cols>
  <sheetData>
    <row r="1" spans="1:8" ht="18" x14ac:dyDescent="0.4">
      <c r="A1" s="7" t="s">
        <v>75</v>
      </c>
      <c r="B1" s="7"/>
      <c r="C1" s="7"/>
      <c r="D1" s="7"/>
      <c r="E1" s="7"/>
      <c r="F1" s="7"/>
      <c r="G1" s="7"/>
      <c r="H1" s="7"/>
    </row>
    <row r="3" spans="1:8" ht="28" x14ac:dyDescent="0.35">
      <c r="A3" s="8" t="s">
        <v>3</v>
      </c>
      <c r="B3" s="8" t="s">
        <v>4</v>
      </c>
      <c r="C3" s="8" t="s">
        <v>8</v>
      </c>
      <c r="D3" s="8" t="s">
        <v>51</v>
      </c>
      <c r="E3" s="8" t="s">
        <v>65</v>
      </c>
      <c r="F3" s="8" t="s">
        <v>69</v>
      </c>
      <c r="G3" s="8" t="s">
        <v>71</v>
      </c>
      <c r="H3" s="8" t="s">
        <v>73</v>
      </c>
    </row>
    <row r="4" spans="1:8" ht="111.75" customHeight="1" x14ac:dyDescent="0.35">
      <c r="A4" s="13" t="s">
        <v>9</v>
      </c>
      <c r="B4" s="14" t="s">
        <v>76</v>
      </c>
      <c r="C4" s="9" t="s">
        <v>77</v>
      </c>
      <c r="D4" s="9" t="s">
        <v>78</v>
      </c>
      <c r="E4" s="9" t="s">
        <v>79</v>
      </c>
      <c r="F4" s="9" t="s">
        <v>80</v>
      </c>
      <c r="G4" s="9" t="s">
        <v>81</v>
      </c>
      <c r="H4" s="9" t="s">
        <v>82</v>
      </c>
    </row>
    <row r="5" spans="1:8" ht="48" customHeight="1" x14ac:dyDescent="0.35">
      <c r="A5" s="13" t="s">
        <v>18</v>
      </c>
      <c r="B5" s="14" t="s">
        <v>83</v>
      </c>
      <c r="C5" s="11" t="s">
        <v>84</v>
      </c>
      <c r="D5" s="11" t="s">
        <v>85</v>
      </c>
      <c r="E5" s="11" t="s">
        <v>84</v>
      </c>
      <c r="F5" s="11" t="s">
        <v>86</v>
      </c>
      <c r="G5" s="11" t="s">
        <v>84</v>
      </c>
      <c r="H5" s="11" t="s">
        <v>85</v>
      </c>
    </row>
    <row r="6" spans="1:8" ht="79.5" customHeight="1" x14ac:dyDescent="0.35">
      <c r="A6" s="13" t="s">
        <v>23</v>
      </c>
      <c r="B6" s="14" t="s">
        <v>87</v>
      </c>
      <c r="C6" s="9" t="s">
        <v>88</v>
      </c>
      <c r="D6" s="9" t="s">
        <v>89</v>
      </c>
      <c r="E6" s="9" t="s">
        <v>90</v>
      </c>
      <c r="F6" s="9" t="s">
        <v>89</v>
      </c>
      <c r="G6" s="9" t="s">
        <v>91</v>
      </c>
      <c r="H6" s="9" t="s">
        <v>92</v>
      </c>
    </row>
    <row r="7" spans="1:8" ht="63.75" customHeight="1" x14ac:dyDescent="0.35">
      <c r="A7" s="13" t="s">
        <v>29</v>
      </c>
      <c r="B7" s="14" t="s">
        <v>93</v>
      </c>
      <c r="C7" s="11" t="s">
        <v>94</v>
      </c>
      <c r="D7" s="11" t="s">
        <v>95</v>
      </c>
      <c r="E7" s="11" t="s">
        <v>95</v>
      </c>
      <c r="F7" s="11" t="s">
        <v>85</v>
      </c>
      <c r="G7" s="11" t="s">
        <v>96</v>
      </c>
      <c r="H7" s="11" t="s">
        <v>97</v>
      </c>
    </row>
    <row r="8" spans="1:8" ht="63.75" customHeight="1" x14ac:dyDescent="0.35">
      <c r="A8" s="13" t="s">
        <v>35</v>
      </c>
      <c r="B8" s="14" t="s">
        <v>98</v>
      </c>
      <c r="C8" s="9" t="s">
        <v>99</v>
      </c>
      <c r="D8" s="9" t="s">
        <v>100</v>
      </c>
      <c r="E8" s="9" t="s">
        <v>101</v>
      </c>
      <c r="F8" s="9" t="s">
        <v>102</v>
      </c>
      <c r="G8" s="9" t="s">
        <v>101</v>
      </c>
      <c r="H8" s="9" t="s">
        <v>103</v>
      </c>
    </row>
    <row r="9" spans="1:8" ht="319.5" customHeight="1" x14ac:dyDescent="0.35">
      <c r="A9" s="13" t="s">
        <v>41</v>
      </c>
      <c r="B9" s="14" t="s">
        <v>104</v>
      </c>
      <c r="C9" s="11" t="s">
        <v>105</v>
      </c>
      <c r="D9" s="11" t="s">
        <v>106</v>
      </c>
      <c r="E9" s="11" t="s">
        <v>107</v>
      </c>
      <c r="F9" s="11" t="s">
        <v>108</v>
      </c>
      <c r="G9" s="11" t="s">
        <v>109</v>
      </c>
      <c r="H9" s="11" t="s">
        <v>110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22" customWidth="1"/>
    <col min="2" max="7" width="34" customWidth="1"/>
  </cols>
  <sheetData>
    <row r="1" spans="1:7" ht="18" x14ac:dyDescent="0.4">
      <c r="A1" s="7" t="s">
        <v>111</v>
      </c>
      <c r="B1" s="7"/>
      <c r="C1" s="7"/>
      <c r="D1" s="7"/>
      <c r="E1" s="7"/>
      <c r="F1" s="7"/>
      <c r="G1" s="7"/>
    </row>
    <row r="2" spans="1:7" x14ac:dyDescent="0.35">
      <c r="A2" s="6" t="s">
        <v>112</v>
      </c>
      <c r="B2" s="6"/>
      <c r="C2" s="6"/>
      <c r="D2" s="6"/>
      <c r="E2" s="6"/>
      <c r="F2" s="6"/>
      <c r="G2" s="6"/>
    </row>
    <row r="4" spans="1:7" ht="28" x14ac:dyDescent="0.35">
      <c r="A4" s="8" t="s">
        <v>5</v>
      </c>
      <c r="B4" s="8" t="s">
        <v>8</v>
      </c>
      <c r="C4" s="8" t="s">
        <v>51</v>
      </c>
      <c r="D4" s="8" t="s">
        <v>65</v>
      </c>
      <c r="E4" s="8" t="s">
        <v>69</v>
      </c>
      <c r="F4" s="8" t="s">
        <v>71</v>
      </c>
      <c r="G4" s="8" t="s">
        <v>73</v>
      </c>
    </row>
    <row r="5" spans="1:7" ht="27.75" customHeight="1" x14ac:dyDescent="0.35">
      <c r="A5" s="13" t="s">
        <v>47</v>
      </c>
      <c r="B5" s="9" t="s">
        <v>113</v>
      </c>
      <c r="C5" s="9" t="s">
        <v>113</v>
      </c>
      <c r="D5" s="9" t="s">
        <v>113</v>
      </c>
      <c r="E5" s="9" t="s">
        <v>113</v>
      </c>
      <c r="F5" s="9" t="s">
        <v>113</v>
      </c>
      <c r="G5" s="9" t="s">
        <v>113</v>
      </c>
    </row>
    <row r="6" spans="1:7" ht="31.5" customHeight="1" x14ac:dyDescent="0.35">
      <c r="A6" s="13" t="s">
        <v>50</v>
      </c>
      <c r="B6" s="11" t="s">
        <v>113</v>
      </c>
      <c r="C6" s="11" t="s">
        <v>113</v>
      </c>
      <c r="D6" s="11" t="s">
        <v>114</v>
      </c>
      <c r="E6" s="11" t="s">
        <v>113</v>
      </c>
      <c r="F6" s="11" t="s">
        <v>114</v>
      </c>
      <c r="G6" s="11" t="s">
        <v>114</v>
      </c>
    </row>
    <row r="7" spans="1:7" ht="63.75" customHeight="1" x14ac:dyDescent="0.35">
      <c r="A7" s="13" t="s">
        <v>13</v>
      </c>
      <c r="B7" s="9" t="s">
        <v>115</v>
      </c>
      <c r="C7" s="9" t="s">
        <v>115</v>
      </c>
      <c r="D7" s="9" t="s">
        <v>115</v>
      </c>
      <c r="E7" s="9" t="s">
        <v>115</v>
      </c>
      <c r="F7" s="9" t="s">
        <v>115</v>
      </c>
      <c r="G7" s="9" t="s">
        <v>115</v>
      </c>
    </row>
    <row r="8" spans="1:7" ht="27.75" customHeight="1" x14ac:dyDescent="0.35">
      <c r="A8" s="13" t="s">
        <v>27</v>
      </c>
      <c r="B8" s="11" t="s">
        <v>116</v>
      </c>
      <c r="C8" s="11" t="s">
        <v>117</v>
      </c>
      <c r="D8" s="11" t="s">
        <v>116</v>
      </c>
      <c r="E8" s="11" t="s">
        <v>117</v>
      </c>
      <c r="F8" s="11" t="s">
        <v>116</v>
      </c>
      <c r="G8" s="11" t="s">
        <v>118</v>
      </c>
    </row>
    <row r="9" spans="1:7" ht="31.5" customHeight="1" x14ac:dyDescent="0.35">
      <c r="A9" s="13" t="s">
        <v>25</v>
      </c>
      <c r="B9" s="9" t="s">
        <v>119</v>
      </c>
      <c r="C9" s="9" t="s">
        <v>119</v>
      </c>
      <c r="D9" s="9" t="s">
        <v>119</v>
      </c>
      <c r="E9" s="9" t="s">
        <v>119</v>
      </c>
      <c r="F9" s="9" t="s">
        <v>119</v>
      </c>
      <c r="G9" s="9" t="s">
        <v>120</v>
      </c>
    </row>
    <row r="10" spans="1:7" ht="27.75" customHeight="1" x14ac:dyDescent="0.35">
      <c r="A10" s="13" t="s">
        <v>60</v>
      </c>
      <c r="B10" s="11" t="s">
        <v>117</v>
      </c>
      <c r="C10" s="11" t="s">
        <v>121</v>
      </c>
      <c r="D10" s="11" t="s">
        <v>122</v>
      </c>
      <c r="E10" s="11" t="s">
        <v>117</v>
      </c>
      <c r="F10" s="11" t="s">
        <v>117</v>
      </c>
      <c r="G10" s="11" t="s">
        <v>123</v>
      </c>
    </row>
    <row r="11" spans="1:7" ht="31.5" customHeight="1" x14ac:dyDescent="0.35">
      <c r="A11" s="13" t="s">
        <v>49</v>
      </c>
      <c r="B11" s="9" t="s">
        <v>124</v>
      </c>
      <c r="C11" s="9" t="s">
        <v>125</v>
      </c>
      <c r="D11" s="9" t="s">
        <v>125</v>
      </c>
      <c r="E11" s="9" t="s">
        <v>124</v>
      </c>
      <c r="F11" s="9" t="s">
        <v>125</v>
      </c>
      <c r="G11" s="9" t="s">
        <v>125</v>
      </c>
    </row>
    <row r="12" spans="1:7" ht="96" customHeight="1" x14ac:dyDescent="0.35">
      <c r="A12" s="13" t="s">
        <v>11</v>
      </c>
      <c r="B12" s="11" t="s">
        <v>126</v>
      </c>
      <c r="C12" s="11" t="s">
        <v>126</v>
      </c>
      <c r="D12" s="11" t="s">
        <v>126</v>
      </c>
      <c r="E12" s="11" t="s">
        <v>126</v>
      </c>
      <c r="F12" s="11" t="s">
        <v>126</v>
      </c>
      <c r="G12" s="11" t="s">
        <v>126</v>
      </c>
    </row>
    <row r="13" spans="1:7" ht="31.5" customHeight="1" x14ac:dyDescent="0.35">
      <c r="A13" s="13" t="s">
        <v>31</v>
      </c>
      <c r="B13" s="9" t="s">
        <v>127</v>
      </c>
      <c r="C13" s="9" t="s">
        <v>128</v>
      </c>
      <c r="D13" s="9" t="s">
        <v>129</v>
      </c>
      <c r="E13" s="9" t="s">
        <v>130</v>
      </c>
      <c r="F13" s="9" t="s">
        <v>127</v>
      </c>
      <c r="G13" s="9" t="s">
        <v>131</v>
      </c>
    </row>
    <row r="14" spans="1:7" ht="31.5" customHeight="1" x14ac:dyDescent="0.35">
      <c r="A14" s="13" t="s">
        <v>33</v>
      </c>
      <c r="B14" s="11" t="s">
        <v>132</v>
      </c>
      <c r="C14" s="11" t="s">
        <v>133</v>
      </c>
      <c r="D14" s="11" t="s">
        <v>124</v>
      </c>
      <c r="E14" s="11" t="s">
        <v>132</v>
      </c>
      <c r="F14" s="11" t="s">
        <v>124</v>
      </c>
      <c r="G14" s="11" t="s">
        <v>133</v>
      </c>
    </row>
    <row r="15" spans="1:7" ht="31.5" customHeight="1" x14ac:dyDescent="0.35">
      <c r="A15" s="13" t="s">
        <v>39</v>
      </c>
      <c r="B15" s="9" t="s">
        <v>134</v>
      </c>
      <c r="C15" s="9" t="s">
        <v>117</v>
      </c>
      <c r="D15" s="9" t="s">
        <v>135</v>
      </c>
      <c r="E15" s="9" t="s">
        <v>134</v>
      </c>
      <c r="F15" s="9" t="s">
        <v>136</v>
      </c>
      <c r="G15" s="9" t="s">
        <v>137</v>
      </c>
    </row>
    <row r="16" spans="1:7" ht="31.5" customHeight="1" x14ac:dyDescent="0.35">
      <c r="A16" s="13" t="s">
        <v>15</v>
      </c>
      <c r="B16" s="11" t="s">
        <v>138</v>
      </c>
      <c r="C16" s="11" t="s">
        <v>139</v>
      </c>
      <c r="D16" s="11" t="s">
        <v>138</v>
      </c>
      <c r="E16" s="11" t="s">
        <v>139</v>
      </c>
      <c r="F16" s="11" t="s">
        <v>138</v>
      </c>
      <c r="G16" s="11" t="s">
        <v>139</v>
      </c>
    </row>
    <row r="17" spans="1:7" ht="27.75" customHeight="1" x14ac:dyDescent="0.35">
      <c r="A17" s="13" t="s">
        <v>58</v>
      </c>
      <c r="B17" s="9" t="s">
        <v>117</v>
      </c>
      <c r="C17" s="9" t="s">
        <v>122</v>
      </c>
      <c r="D17" s="9" t="s">
        <v>117</v>
      </c>
      <c r="E17" s="9" t="s">
        <v>122</v>
      </c>
      <c r="F17" s="9" t="s">
        <v>122</v>
      </c>
      <c r="G17" s="9" t="s">
        <v>123</v>
      </c>
    </row>
    <row r="18" spans="1:7" ht="31.5" customHeight="1" x14ac:dyDescent="0.35">
      <c r="A18" s="13" t="s">
        <v>37</v>
      </c>
      <c r="B18" s="11" t="s">
        <v>140</v>
      </c>
      <c r="C18" s="11" t="s">
        <v>117</v>
      </c>
      <c r="D18" s="11" t="s">
        <v>140</v>
      </c>
      <c r="E18" s="11" t="s">
        <v>140</v>
      </c>
      <c r="F18" s="11" t="s">
        <v>140</v>
      </c>
      <c r="G18" s="11" t="s">
        <v>141</v>
      </c>
    </row>
    <row r="19" spans="1:7" ht="31.5" customHeight="1" x14ac:dyDescent="0.35">
      <c r="A19" s="13" t="s">
        <v>70</v>
      </c>
      <c r="B19" s="9" t="s">
        <v>117</v>
      </c>
      <c r="C19" s="9" t="s">
        <v>117</v>
      </c>
      <c r="D19" s="9" t="s">
        <v>117</v>
      </c>
      <c r="E19" s="9" t="s">
        <v>142</v>
      </c>
      <c r="F19" s="9" t="s">
        <v>117</v>
      </c>
      <c r="G19" s="9" t="s">
        <v>124</v>
      </c>
    </row>
    <row r="20" spans="1:7" ht="31.5" customHeight="1" x14ac:dyDescent="0.35">
      <c r="A20" s="13" t="s">
        <v>16</v>
      </c>
      <c r="B20" s="11" t="s">
        <v>143</v>
      </c>
      <c r="C20" s="11" t="s">
        <v>144</v>
      </c>
      <c r="D20" s="11" t="s">
        <v>144</v>
      </c>
      <c r="E20" s="11" t="s">
        <v>144</v>
      </c>
      <c r="F20" s="11" t="s">
        <v>144</v>
      </c>
      <c r="G20" s="11" t="s">
        <v>145</v>
      </c>
    </row>
    <row r="21" spans="1:7" ht="31.5" customHeight="1" x14ac:dyDescent="0.35">
      <c r="A21" s="13" t="s">
        <v>56</v>
      </c>
      <c r="B21" s="9" t="s">
        <v>117</v>
      </c>
      <c r="C21" s="9" t="s">
        <v>146</v>
      </c>
      <c r="D21" s="9" t="s">
        <v>117</v>
      </c>
      <c r="E21" s="9" t="s">
        <v>146</v>
      </c>
      <c r="F21" s="9" t="s">
        <v>117</v>
      </c>
      <c r="G21" s="9" t="s">
        <v>147</v>
      </c>
    </row>
    <row r="22" spans="1:7" ht="27.75" customHeight="1" x14ac:dyDescent="0.35">
      <c r="A22" s="13" t="s">
        <v>62</v>
      </c>
      <c r="B22" s="11" t="s">
        <v>117</v>
      </c>
      <c r="C22" s="11" t="s">
        <v>148</v>
      </c>
      <c r="D22" s="11" t="s">
        <v>149</v>
      </c>
      <c r="E22" s="11" t="s">
        <v>148</v>
      </c>
      <c r="F22" s="11" t="s">
        <v>149</v>
      </c>
      <c r="G22" s="11" t="s">
        <v>148</v>
      </c>
    </row>
    <row r="23" spans="1:7" ht="27.75" customHeight="1" x14ac:dyDescent="0.35">
      <c r="A23" s="13" t="s">
        <v>64</v>
      </c>
      <c r="B23" s="9" t="s">
        <v>117</v>
      </c>
      <c r="C23" s="9" t="s">
        <v>148</v>
      </c>
      <c r="D23" s="9" t="s">
        <v>149</v>
      </c>
      <c r="E23" s="9" t="s">
        <v>148</v>
      </c>
      <c r="F23" s="9" t="s">
        <v>149</v>
      </c>
      <c r="G23" s="9" t="s">
        <v>148</v>
      </c>
    </row>
    <row r="24" spans="1:7" ht="27.75" customHeight="1" x14ac:dyDescent="0.35">
      <c r="A24" s="13" t="s">
        <v>54</v>
      </c>
      <c r="B24" s="11" t="s">
        <v>117</v>
      </c>
      <c r="C24" s="11" t="s">
        <v>150</v>
      </c>
      <c r="D24" s="11" t="s">
        <v>117</v>
      </c>
      <c r="E24" s="11" t="s">
        <v>150</v>
      </c>
      <c r="F24" s="11" t="s">
        <v>117</v>
      </c>
      <c r="G24" s="11" t="s">
        <v>117</v>
      </c>
    </row>
    <row r="25" spans="1:7" ht="27.75" customHeight="1" x14ac:dyDescent="0.35">
      <c r="A25" s="13" t="s">
        <v>45</v>
      </c>
      <c r="B25" s="9" t="s">
        <v>151</v>
      </c>
      <c r="C25" s="9" t="s">
        <v>151</v>
      </c>
      <c r="D25" s="9" t="s">
        <v>151</v>
      </c>
      <c r="E25" s="9" t="s">
        <v>151</v>
      </c>
      <c r="F25" s="9" t="s">
        <v>151</v>
      </c>
      <c r="G25" s="9" t="s">
        <v>151</v>
      </c>
    </row>
    <row r="26" spans="1:7" ht="27.75" customHeight="1" x14ac:dyDescent="0.35">
      <c r="A26" s="13" t="s">
        <v>52</v>
      </c>
      <c r="B26" s="11" t="s">
        <v>117</v>
      </c>
      <c r="C26" s="11" t="s">
        <v>152</v>
      </c>
      <c r="D26" s="11" t="s">
        <v>117</v>
      </c>
      <c r="E26" s="11" t="s">
        <v>117</v>
      </c>
      <c r="F26" s="11" t="s">
        <v>152</v>
      </c>
      <c r="G26" s="11" t="s">
        <v>117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14" customWidth="1"/>
    <col min="3" max="3" width="18" customWidth="1"/>
    <col min="4" max="5" width="22" customWidth="1"/>
    <col min="6" max="6" width="28" customWidth="1"/>
    <col min="7" max="7" width="16" customWidth="1"/>
  </cols>
  <sheetData>
    <row r="1" spans="1:8" ht="18" x14ac:dyDescent="0.4">
      <c r="A1" s="7" t="s">
        <v>153</v>
      </c>
      <c r="B1" s="7"/>
      <c r="C1" s="7"/>
      <c r="D1" s="7"/>
      <c r="E1" s="7"/>
      <c r="F1" s="7"/>
      <c r="G1" s="7"/>
    </row>
    <row r="3" spans="1:8" ht="28" x14ac:dyDescent="0.35">
      <c r="A3" s="8" t="s">
        <v>2</v>
      </c>
      <c r="B3" s="8" t="s">
        <v>154</v>
      </c>
      <c r="C3" s="8" t="s">
        <v>155</v>
      </c>
      <c r="D3" s="8" t="s">
        <v>156</v>
      </c>
      <c r="E3" s="8" t="s">
        <v>157</v>
      </c>
      <c r="F3" s="8" t="s">
        <v>158</v>
      </c>
      <c r="G3" s="8" t="s">
        <v>159</v>
      </c>
    </row>
    <row r="4" spans="1:8" x14ac:dyDescent="0.35">
      <c r="A4" s="9" t="s">
        <v>160</v>
      </c>
      <c r="B4" s="14" t="s">
        <v>161</v>
      </c>
      <c r="C4" s="14">
        <v>326</v>
      </c>
      <c r="D4" s="14">
        <v>33</v>
      </c>
      <c r="E4" s="14">
        <v>9.9</v>
      </c>
      <c r="F4" s="14">
        <v>13</v>
      </c>
      <c r="G4" s="14">
        <v>33</v>
      </c>
    </row>
    <row r="5" spans="1:8" x14ac:dyDescent="0.35">
      <c r="A5" s="11" t="s">
        <v>162</v>
      </c>
      <c r="B5" s="15" t="s">
        <v>163</v>
      </c>
      <c r="C5" s="15">
        <v>397</v>
      </c>
      <c r="D5" s="15">
        <v>39</v>
      </c>
      <c r="E5" s="15">
        <v>10.199999999999999</v>
      </c>
      <c r="F5" s="15">
        <v>14</v>
      </c>
      <c r="G5" s="15">
        <v>39</v>
      </c>
    </row>
    <row r="6" spans="1:8" x14ac:dyDescent="0.35">
      <c r="A6" s="9" t="s">
        <v>164</v>
      </c>
      <c r="B6" s="14" t="s">
        <v>165</v>
      </c>
      <c r="C6" s="14">
        <v>367</v>
      </c>
      <c r="D6" s="14">
        <v>39</v>
      </c>
      <c r="E6" s="14">
        <v>9.4</v>
      </c>
      <c r="F6" s="14">
        <v>12</v>
      </c>
      <c r="G6" s="14">
        <v>39</v>
      </c>
    </row>
    <row r="7" spans="1:8" x14ac:dyDescent="0.35">
      <c r="A7" s="11" t="s">
        <v>166</v>
      </c>
      <c r="B7" s="15" t="s">
        <v>167</v>
      </c>
      <c r="C7" s="15">
        <v>420</v>
      </c>
      <c r="D7" s="15">
        <v>42</v>
      </c>
      <c r="E7" s="15">
        <v>10</v>
      </c>
      <c r="F7" s="15">
        <v>13</v>
      </c>
      <c r="G7" s="15">
        <v>42</v>
      </c>
    </row>
    <row r="8" spans="1:8" x14ac:dyDescent="0.35">
      <c r="A8" s="9" t="s">
        <v>168</v>
      </c>
      <c r="B8" s="14" t="s">
        <v>169</v>
      </c>
      <c r="C8" s="14">
        <v>375</v>
      </c>
      <c r="D8" s="14">
        <v>39</v>
      </c>
      <c r="E8" s="14">
        <v>9.6</v>
      </c>
      <c r="F8" s="14">
        <v>14</v>
      </c>
      <c r="G8" s="14">
        <v>39</v>
      </c>
    </row>
    <row r="9" spans="1:8" x14ac:dyDescent="0.35">
      <c r="A9" s="11" t="s">
        <v>170</v>
      </c>
      <c r="B9" s="15" t="s">
        <v>171</v>
      </c>
      <c r="C9" s="15">
        <v>533</v>
      </c>
      <c r="D9" s="15">
        <v>54</v>
      </c>
      <c r="E9" s="15">
        <v>9.9</v>
      </c>
      <c r="F9" s="15">
        <v>18</v>
      </c>
      <c r="G9" s="15">
        <v>54</v>
      </c>
    </row>
    <row r="10" spans="1:8" x14ac:dyDescent="0.35">
      <c r="A10" s="16" t="s">
        <v>172</v>
      </c>
      <c r="B10" s="16" t="s">
        <v>173</v>
      </c>
      <c r="C10" s="17">
        <f>SUM(C4:C9)</f>
        <v>2418</v>
      </c>
      <c r="D10" s="17">
        <f>SUM(D4:D9)</f>
        <v>246</v>
      </c>
      <c r="E10" s="17">
        <f>ROUND(C10/D10,1)</f>
        <v>9.8000000000000007</v>
      </c>
      <c r="F10" s="17">
        <f>SUM(F4:F9)</f>
        <v>84</v>
      </c>
      <c r="G10" s="17">
        <f>SUM(G4:G9)</f>
        <v>246</v>
      </c>
    </row>
    <row r="13" spans="1:8" ht="15.5" x14ac:dyDescent="0.35">
      <c r="A13" s="3" t="s">
        <v>174</v>
      </c>
      <c r="B13" s="3"/>
      <c r="C13" s="3"/>
      <c r="D13" s="3"/>
      <c r="E13" s="3"/>
      <c r="F13" s="3"/>
      <c r="G13" s="3"/>
      <c r="H13" s="3"/>
    </row>
    <row r="15" spans="1:8" ht="28" x14ac:dyDescent="0.35">
      <c r="A15" s="8" t="s">
        <v>175</v>
      </c>
      <c r="B15" s="8" t="s">
        <v>160</v>
      </c>
      <c r="C15" s="8" t="s">
        <v>162</v>
      </c>
      <c r="D15" s="8" t="s">
        <v>164</v>
      </c>
      <c r="E15" s="8" t="s">
        <v>166</v>
      </c>
      <c r="F15" s="8" t="s">
        <v>168</v>
      </c>
      <c r="G15" s="8" t="s">
        <v>170</v>
      </c>
      <c r="H15" s="8" t="s">
        <v>176</v>
      </c>
    </row>
    <row r="16" spans="1:8" x14ac:dyDescent="0.35">
      <c r="A16" s="13" t="s">
        <v>177</v>
      </c>
      <c r="B16" s="14">
        <v>4</v>
      </c>
      <c r="C16" s="14">
        <v>4</v>
      </c>
      <c r="D16" s="14">
        <v>4</v>
      </c>
      <c r="E16" s="14">
        <v>3</v>
      </c>
      <c r="F16" s="14">
        <v>5</v>
      </c>
      <c r="G16" s="14">
        <v>3</v>
      </c>
      <c r="H16" s="18">
        <v>23</v>
      </c>
    </row>
    <row r="17" spans="1:8" x14ac:dyDescent="0.35">
      <c r="A17" s="13" t="s">
        <v>178</v>
      </c>
      <c r="B17" s="15">
        <v>1</v>
      </c>
      <c r="C17" s="15">
        <v>2</v>
      </c>
      <c r="D17" s="15">
        <v>1</v>
      </c>
      <c r="E17" s="15">
        <v>1</v>
      </c>
      <c r="F17" s="15">
        <v>1</v>
      </c>
      <c r="G17" s="15">
        <v>2</v>
      </c>
      <c r="H17" s="18">
        <v>8</v>
      </c>
    </row>
    <row r="18" spans="1:8" x14ac:dyDescent="0.35">
      <c r="A18" s="13" t="s">
        <v>179</v>
      </c>
      <c r="B18" s="14">
        <v>1</v>
      </c>
      <c r="C18" s="14">
        <v>1</v>
      </c>
      <c r="D18" s="14">
        <v>1</v>
      </c>
      <c r="E18" s="14">
        <v>1</v>
      </c>
      <c r="F18" s="14">
        <v>1</v>
      </c>
      <c r="G18" s="14">
        <v>1</v>
      </c>
      <c r="H18" s="18">
        <v>6</v>
      </c>
    </row>
    <row r="19" spans="1:8" x14ac:dyDescent="0.35">
      <c r="A19" s="13" t="s">
        <v>180</v>
      </c>
      <c r="B19" s="15">
        <v>2</v>
      </c>
      <c r="C19" s="15">
        <v>1</v>
      </c>
      <c r="D19" s="15">
        <v>1</v>
      </c>
      <c r="E19" s="15">
        <v>2</v>
      </c>
      <c r="F19" s="15">
        <v>2</v>
      </c>
      <c r="G19" s="15">
        <v>2</v>
      </c>
      <c r="H19" s="18">
        <v>10</v>
      </c>
    </row>
    <row r="20" spans="1:8" x14ac:dyDescent="0.35">
      <c r="A20" s="13" t="s">
        <v>181</v>
      </c>
      <c r="B20" s="14">
        <v>1</v>
      </c>
      <c r="C20" s="14">
        <v>1</v>
      </c>
      <c r="D20" s="14">
        <v>1</v>
      </c>
      <c r="E20" s="14">
        <v>1</v>
      </c>
      <c r="F20" s="14">
        <v>1</v>
      </c>
      <c r="G20" s="14">
        <v>1</v>
      </c>
      <c r="H20" s="18">
        <v>6</v>
      </c>
    </row>
    <row r="21" spans="1:8" x14ac:dyDescent="0.35">
      <c r="A21" s="13" t="s">
        <v>182</v>
      </c>
      <c r="B21" s="15">
        <v>4</v>
      </c>
      <c r="C21" s="15">
        <v>5</v>
      </c>
      <c r="D21" s="15">
        <v>4</v>
      </c>
      <c r="E21" s="15">
        <v>5</v>
      </c>
      <c r="F21" s="15">
        <v>4</v>
      </c>
      <c r="G21" s="15">
        <v>9</v>
      </c>
      <c r="H21" s="18">
        <v>31</v>
      </c>
    </row>
    <row r="24" spans="1:8" x14ac:dyDescent="0.35">
      <c r="A24" s="2" t="s">
        <v>183</v>
      </c>
      <c r="B24" s="2"/>
      <c r="C24" s="2"/>
      <c r="D24" s="2"/>
      <c r="E24" s="2"/>
      <c r="F24" s="2"/>
      <c r="G24" s="2"/>
    </row>
    <row r="25" spans="1:8" ht="15" customHeight="1" x14ac:dyDescent="0.35">
      <c r="A25" s="1" t="s">
        <v>184</v>
      </c>
      <c r="B25" s="1"/>
      <c r="C25" s="1"/>
      <c r="D25" s="1"/>
      <c r="E25" s="1"/>
      <c r="F25" s="1"/>
      <c r="G25" s="1"/>
    </row>
    <row r="26" spans="1:8" ht="15" customHeight="1" x14ac:dyDescent="0.35">
      <c r="A26" s="1" t="s">
        <v>185</v>
      </c>
      <c r="B26" s="1"/>
      <c r="C26" s="1"/>
      <c r="D26" s="1"/>
      <c r="E26" s="1"/>
      <c r="F26" s="1"/>
      <c r="G26" s="1"/>
    </row>
    <row r="27" spans="1:8" ht="15" customHeight="1" x14ac:dyDescent="0.35">
      <c r="A27" s="1" t="s">
        <v>186</v>
      </c>
      <c r="B27" s="1"/>
      <c r="C27" s="1"/>
      <c r="D27" s="1"/>
      <c r="E27" s="1"/>
      <c r="F27" s="1"/>
      <c r="G27" s="1"/>
    </row>
    <row r="28" spans="1:8" ht="15" customHeight="1" x14ac:dyDescent="0.35">
      <c r="A28" s="1" t="s">
        <v>187</v>
      </c>
      <c r="B28" s="1"/>
      <c r="C28" s="1"/>
      <c r="D28" s="1"/>
      <c r="E28" s="1"/>
      <c r="F28" s="1"/>
      <c r="G28" s="1"/>
    </row>
    <row r="29" spans="1:8" ht="23.9" customHeight="1" x14ac:dyDescent="0.35">
      <c r="A29" s="1" t="s">
        <v>188</v>
      </c>
      <c r="B29" s="1"/>
      <c r="C29" s="1"/>
      <c r="D29" s="1"/>
      <c r="E29" s="1"/>
      <c r="F29" s="1"/>
      <c r="G29" s="1"/>
    </row>
    <row r="30" spans="1:8" ht="15" customHeight="1" x14ac:dyDescent="0.35">
      <c r="A30" s="1" t="s">
        <v>189</v>
      </c>
      <c r="B30" s="1"/>
      <c r="C30" s="1"/>
      <c r="D30" s="1"/>
      <c r="E30" s="1"/>
      <c r="F30" s="1"/>
      <c r="G30" s="1"/>
    </row>
    <row r="31" spans="1:8" ht="15" customHeight="1" x14ac:dyDescent="0.35">
      <c r="A31" s="1" t="s">
        <v>190</v>
      </c>
      <c r="B31" s="1"/>
      <c r="C31" s="1"/>
      <c r="D31" s="1"/>
      <c r="E31" s="1"/>
      <c r="F31" s="1"/>
      <c r="G31" s="1"/>
    </row>
  </sheetData>
  <mergeCells count="10">
    <mergeCell ref="A27:G27"/>
    <mergeCell ref="A28:G28"/>
    <mergeCell ref="A29:G29"/>
    <mergeCell ref="A30:G30"/>
    <mergeCell ref="A31:G31"/>
    <mergeCell ref="A1:G1"/>
    <mergeCell ref="A13:H13"/>
    <mergeCell ref="A24:G24"/>
    <mergeCell ref="A25:G25"/>
    <mergeCell ref="A26:G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zoomScaleNormal="100" workbookViewId="0"/>
  </sheetViews>
  <sheetFormatPr defaultColWidth="8.6328125" defaultRowHeight="14.5" x14ac:dyDescent="0.35"/>
  <cols>
    <col min="1" max="1" width="30" customWidth="1"/>
    <col min="2" max="2" width="100" customWidth="1"/>
  </cols>
  <sheetData>
    <row r="1" spans="1:2" ht="18" x14ac:dyDescent="0.4">
      <c r="A1" s="7" t="s">
        <v>191</v>
      </c>
      <c r="B1" s="7"/>
    </row>
    <row r="3" spans="1:2" ht="43.5" customHeight="1" x14ac:dyDescent="0.35">
      <c r="A3" s="19" t="s">
        <v>192</v>
      </c>
      <c r="B3" s="9" t="s">
        <v>193</v>
      </c>
    </row>
    <row r="4" spans="1:2" ht="43.5" customHeight="1" x14ac:dyDescent="0.35">
      <c r="A4" s="19" t="s">
        <v>194</v>
      </c>
      <c r="B4" s="9" t="s">
        <v>195</v>
      </c>
    </row>
    <row r="5" spans="1:2" ht="43.5" customHeight="1" x14ac:dyDescent="0.35">
      <c r="A5" s="19" t="s">
        <v>196</v>
      </c>
      <c r="B5" s="9" t="s">
        <v>197</v>
      </c>
    </row>
    <row r="6" spans="1:2" ht="43.5" customHeight="1" x14ac:dyDescent="0.35">
      <c r="A6" s="19" t="s">
        <v>198</v>
      </c>
      <c r="B6" s="9" t="s">
        <v>199</v>
      </c>
    </row>
    <row r="7" spans="1:2" ht="43.5" customHeight="1" x14ac:dyDescent="0.35">
      <c r="A7" s="19" t="s">
        <v>200</v>
      </c>
      <c r="B7" s="9" t="s">
        <v>201</v>
      </c>
    </row>
    <row r="8" spans="1:2" ht="43.5" customHeight="1" x14ac:dyDescent="0.35">
      <c r="A8" s="19" t="s">
        <v>202</v>
      </c>
      <c r="B8" s="9" t="s">
        <v>203</v>
      </c>
    </row>
    <row r="9" spans="1:2" ht="43.5" customHeight="1" x14ac:dyDescent="0.35">
      <c r="A9" s="19" t="s">
        <v>204</v>
      </c>
      <c r="B9" s="9" t="s">
        <v>205</v>
      </c>
    </row>
    <row r="10" spans="1:2" ht="43.5" customHeight="1" x14ac:dyDescent="0.35">
      <c r="A10" s="19" t="s">
        <v>206</v>
      </c>
      <c r="B10" s="9" t="s">
        <v>207</v>
      </c>
    </row>
    <row r="11" spans="1:2" ht="43.5" customHeight="1" x14ac:dyDescent="0.35">
      <c r="A11" s="19" t="s">
        <v>15</v>
      </c>
      <c r="B11" s="9" t="s">
        <v>208</v>
      </c>
    </row>
    <row r="12" spans="1:2" ht="43.5" customHeight="1" x14ac:dyDescent="0.35">
      <c r="A12" s="19" t="s">
        <v>13</v>
      </c>
      <c r="B12" s="9" t="s">
        <v>209</v>
      </c>
    </row>
    <row r="13" spans="1:2" ht="43.5" customHeight="1" x14ac:dyDescent="0.35">
      <c r="A13" s="19" t="s">
        <v>45</v>
      </c>
      <c r="B13" s="9" t="s">
        <v>210</v>
      </c>
    </row>
    <row r="14" spans="1:2" ht="43.5" customHeight="1" x14ac:dyDescent="0.35">
      <c r="A14" s="19" t="s">
        <v>52</v>
      </c>
      <c r="B14" s="9" t="s">
        <v>211</v>
      </c>
    </row>
    <row r="15" spans="1:2" ht="43.5" customHeight="1" x14ac:dyDescent="0.35">
      <c r="A15" s="19" t="s">
        <v>54</v>
      </c>
      <c r="B15" s="9" t="s">
        <v>212</v>
      </c>
    </row>
    <row r="16" spans="1:2" ht="43.5" customHeight="1" x14ac:dyDescent="0.35">
      <c r="A16" s="19" t="s">
        <v>213</v>
      </c>
      <c r="B16" s="9" t="s">
        <v>214</v>
      </c>
    </row>
    <row r="17" spans="1:2" ht="43.5" customHeight="1" x14ac:dyDescent="0.35">
      <c r="A17" s="19" t="s">
        <v>56</v>
      </c>
      <c r="B17" s="9" t="s">
        <v>215</v>
      </c>
    </row>
    <row r="18" spans="1:2" ht="43.5" customHeight="1" x14ac:dyDescent="0.35">
      <c r="A18" s="19" t="s">
        <v>37</v>
      </c>
      <c r="B18" s="9" t="s">
        <v>216</v>
      </c>
    </row>
    <row r="19" spans="1:2" ht="43.5" customHeight="1" x14ac:dyDescent="0.35">
      <c r="A19" s="19" t="s">
        <v>217</v>
      </c>
      <c r="B19" s="9" t="s">
        <v>218</v>
      </c>
    </row>
    <row r="20" spans="1:2" ht="43.5" customHeight="1" x14ac:dyDescent="0.35">
      <c r="A20" s="19" t="s">
        <v>219</v>
      </c>
      <c r="B20" s="9" t="s">
        <v>220</v>
      </c>
    </row>
    <row r="21" spans="1:2" ht="43.5" customHeight="1" x14ac:dyDescent="0.35">
      <c r="A21" s="19" t="s">
        <v>221</v>
      </c>
      <c r="B21" s="9" t="s">
        <v>222</v>
      </c>
    </row>
    <row r="22" spans="1:2" ht="43.5" customHeight="1" x14ac:dyDescent="0.35">
      <c r="A22" s="19" t="s">
        <v>223</v>
      </c>
      <c r="B22" s="9" t="s">
        <v>224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List by Day-Slot</vt:lpstr>
      <vt:lpstr>2. Slot x Day Matrix</vt:lpstr>
      <vt:lpstr>3. Site Matrix</vt:lpstr>
      <vt:lpstr>4. Metrics</vt:lpstr>
      <vt:lpstr>5. Notes &amp;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Lewis</cp:lastModifiedBy>
  <cp:revision>0</cp:revision>
  <dcterms:created xsi:type="dcterms:W3CDTF">2026-04-24T01:04:14Z</dcterms:created>
  <dcterms:modified xsi:type="dcterms:W3CDTF">2026-04-24T01:28:08Z</dcterms:modified>
  <dc:language>en-US</dc:language>
</cp:coreProperties>
</file>