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/>
  <mc:AlternateContent xmlns:mc="http://schemas.openxmlformats.org/markup-compatibility/2006">
    <mc:Choice Requires="x15">
      <x15ac:absPath xmlns:x15ac="http://schemas.microsoft.com/office/spreadsheetml/2010/11/ac" url="C:\Data\dev\RetreatVolunteer\"/>
    </mc:Choice>
  </mc:AlternateContent>
  <xr:revisionPtr revIDLastSave="0" documentId="8_{BB976493-EE80-4486-896A-0905CF42A3F4}" xr6:coauthVersionLast="47" xr6:coauthVersionMax="47" xr10:uidLastSave="{00000000-0000-0000-0000-000000000000}"/>
  <bookViews>
    <workbookView xWindow="7060" yWindow="890" windowWidth="24380" windowHeight="17590" tabRatio="500" activeTab="2" xr2:uid="{00000000-000D-0000-FFFF-FFFF00000000}"/>
  </bookViews>
  <sheets>
    <sheet name="1. List by Day-Slot" sheetId="1" r:id="rId1"/>
    <sheet name="2. Slot x Day Matrix" sheetId="2" r:id="rId2"/>
    <sheet name="3. Site Matrix" sheetId="3" r:id="rId3"/>
    <sheet name="4. Metrics" sheetId="4" r:id="rId4"/>
    <sheet name="5. Not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4" l="1"/>
  <c r="C11" i="4"/>
  <c r="E11" i="4" l="1"/>
</calcChain>
</file>

<file path=xl/sharedStrings.xml><?xml version="1.0" encoding="utf-8"?>
<sst xmlns="http://schemas.openxmlformats.org/spreadsheetml/2006/main" count="433" uniqueCount="103">
  <si>
    <t>Volunteer Schedule — Retreat July 20-26, 2026 (v5)</t>
  </si>
  <si>
    <t>Day 7 (Sun Jul 26): special-event day with retreatants and visitors — no volunteer tasks scheduled. Row shading alternates by day.</t>
  </si>
  <si>
    <t>Day</t>
  </si>
  <si>
    <t>Slot</t>
  </si>
  <si>
    <t>Time</t>
  </si>
  <si>
    <t>Site / Job</t>
  </si>
  <si>
    <t>Task</t>
  </si>
  <si>
    <t>V × min</t>
  </si>
  <si>
    <t>1: Mon Jul 20</t>
  </si>
  <si>
    <t>Start day</t>
  </si>
  <si>
    <t>8:00 AM – 8:30 AM</t>
  </si>
  <si>
    <t>Tea &amp; coffee</t>
  </si>
  <si>
    <t>Setup (2v, 15m)</t>
  </si>
  <si>
    <t>End day</t>
  </si>
  <si>
    <t>7-8 PM / 9-10 PM</t>
  </si>
  <si>
    <t>Kitchen &amp; cafe</t>
  </si>
  <si>
    <t>Clean (2v, 20m)</t>
  </si>
  <si>
    <t>Breakdown (2v, 15m)</t>
  </si>
  <si>
    <t>All day</t>
  </si>
  <si>
    <t>any time (self-scheduled)</t>
  </si>
  <si>
    <t>Men's room</t>
  </si>
  <si>
    <t>Clean (1v, 10m)</t>
  </si>
  <si>
    <t>Urinals</t>
  </si>
  <si>
    <t>Check &amp; mop (1v, 15m)</t>
  </si>
  <si>
    <t>Women's room</t>
  </si>
  <si>
    <t>Clean (1v, 8m)</t>
  </si>
  <si>
    <t>Unisex &amp; Lama bathrooms</t>
  </si>
  <si>
    <t>2: Tue Jul 21</t>
  </si>
  <si>
    <t>Towels &amp; mops</t>
  </si>
  <si>
    <t>Launder (1v, 15m)</t>
  </si>
  <si>
    <t>Vacuum</t>
  </si>
  <si>
    <t>Vacuum (2v, 20m)</t>
  </si>
  <si>
    <t>Lama office</t>
  </si>
  <si>
    <t>3: Wed Jul 22</t>
  </si>
  <si>
    <t>Foyer &amp; lobby</t>
  </si>
  <si>
    <t>Clean (2v, 10m)</t>
  </si>
  <si>
    <t>Front windows</t>
  </si>
  <si>
    <t>4: Thu Jul 23</t>
  </si>
  <si>
    <t>5: Fri Jul 24</t>
  </si>
  <si>
    <t>6: Sat Jul 25</t>
  </si>
  <si>
    <t>Slot × Day Matrix</t>
  </si>
  <si>
    <t>Break slots (morning / lunch / afternoon / dinner) carry no scheduled tasks in v5 — shown for time context. 'All day' = volunteer schedules the task themselves. Row shading alternates by slot.</t>
  </si>
  <si>
    <t>8:00 AM
8:30 AM</t>
  </si>
  <si>
    <t>Tea &amp; coffee — Setup (2v, 15m)</t>
  </si>
  <si>
    <t>Morning break</t>
  </si>
  <si>
    <t>9:30 AM
10:00 AM</t>
  </si>
  <si>
    <t>Lunch break</t>
  </si>
  <si>
    <t>12:00 PM
2:00 PM</t>
  </si>
  <si>
    <t>Afternoon break</t>
  </si>
  <si>
    <t>3:00 PM
3:30 PM</t>
  </si>
  <si>
    <t>Dinner break</t>
  </si>
  <si>
    <t>6:30 PM
8:00 PM</t>
  </si>
  <si>
    <t>7-8 PM
or 9-10 PM</t>
  </si>
  <si>
    <t>Kitchen &amp; cafe — Clean (2v, 20m)
Tea &amp; coffee — Breakdown (2v, 15m)</t>
  </si>
  <si>
    <t>Kitchen &amp; cafe — Clean (2v, 20m)
Tea &amp; coffee — Breakdown (2v, 15m)
Towels &amp; mops — Launder (1v, 15m)</t>
  </si>
  <si>
    <t>any time
(self-scheduled)</t>
  </si>
  <si>
    <t>Men's room — Clean (1v, 10m)
Urinals — Check &amp; mop (1v, 15m)
Women's room — Clean (1v, 8m)
Unisex &amp; Lama bathrooms — Clean (1v, 10m)</t>
  </si>
  <si>
    <t>Vacuum — Vacuum (2v, 20m)
Men's room — Clean (1v, 10m)
Urinals — Check &amp; mop (1v, 15m)
Women's room — Clean (1v, 8m)
Unisex &amp; Lama bathrooms — Clean (1v, 10m)
Lama office — Clean (1v, 10m)</t>
  </si>
  <si>
    <t>Men's room — Clean (1v, 10m)
Urinals — Check &amp; mop (1v, 15m)
Women's room — Clean (1v, 8m)
Unisex &amp; Lama bathrooms — Clean (1v, 10m)
Foyer &amp; lobby — Clean (2v, 10m)
Front windows — Clean (1v, 10m)</t>
  </si>
  <si>
    <t>Vacuum — Vacuum (2v, 20m)
Men's room — Clean (1v, 10m)
Urinals — Check &amp; mop (1v, 15m)
Women's room — Clean (1v, 8m)
Unisex &amp; Lama bathrooms — Clean (1v, 10m)
Foyer &amp; lobby — Clean (2v, 10m)
Lama office — Clean (1v, 10m)
Front windows — Clean (1v, 10m)</t>
  </si>
  <si>
    <t>Site Matrix — tasks by site, in slot order</t>
  </si>
  <si>
    <t>Use this sheet for manual adjustments. 'All day' / self-scheduled tasks show the task only (no slot prefix); fixed-slot tasks show 'Slot: task (Nv, Nm)'. Row shading alternates by site.</t>
  </si>
  <si>
    <t>End day: Clean (2v, 20m)</t>
  </si>
  <si>
    <t>End day: Launder (1v, 15m)</t>
  </si>
  <si>
    <t>Volunteer Metrics</t>
  </si>
  <si>
    <t>Volunteers needed and average minutes per volunteer assume no double-duty (one volunteer per task-instance per day).</t>
  </si>
  <si>
    <t>Date</t>
  </si>
  <si>
    <t>Total volunteer-minutes</t>
  </si>
  <si>
    <t>Volunteers needed (no double duty)</t>
  </si>
  <si>
    <t>Avg min / volunteer (no double duty)</t>
  </si>
  <si>
    <t>1</t>
  </si>
  <si>
    <t>Mon Jul 20</t>
  </si>
  <si>
    <t>2</t>
  </si>
  <si>
    <t>Tue Jul 21</t>
  </si>
  <si>
    <t>3</t>
  </si>
  <si>
    <t>Wed Jul 22</t>
  </si>
  <si>
    <t>4</t>
  </si>
  <si>
    <t>Thu Jul 23</t>
  </si>
  <si>
    <t>5</t>
  </si>
  <si>
    <t>Fri Jul 24</t>
  </si>
  <si>
    <t>6</t>
  </si>
  <si>
    <t>Sat Jul 25</t>
  </si>
  <si>
    <t>TOTAL</t>
  </si>
  <si>
    <t>Days 1-6</t>
  </si>
  <si>
    <t>Notes &amp; Interpretations</t>
  </si>
  <si>
    <t>Retreat dates</t>
  </si>
  <si>
    <t>July 20-26, 2026. Days 1-6 (Mon-Sat) are scheduled. Day 7 (Sun Jul 26) is the special-event day with retreatants and additional visitors — no volunteer tasks scheduled.</t>
  </si>
  <si>
    <t>'All day' slot</t>
  </si>
  <si>
    <t>Tasks listed in the 'all day' slot have no fixed time. The volunteer manages timing per their instructions: doing the task at any chosen moment (e.g., front windows), monitoring throughout the day (e.g., urinals), or splitting it into parts (e.g., vacuuming several areas). In Sheet 3 the slot prefix is omitted for these tasks per the v5 formatting note.</t>
  </si>
  <si>
    <t>Tea &amp; coffee — combined role</t>
  </si>
  <si>
    <t>Per the prompt, the volunteer assigned to setup at start-of-day and breakdown at end-of-day is also responsible for tidying and replenishing throughout the day (handled via task instructions, not as a separate scheduled task).</t>
  </si>
  <si>
    <t>Break slots empty</t>
  </si>
  <si>
    <t>Morning, lunch, afternoon, and dinner breaks have no scheduled tasks in v5 — they appear in Sheet 2 for time context only. Empty cells in Sheets 2 and 3 are left blank.</t>
  </si>
  <si>
    <t>End day variable length</t>
  </si>
  <si>
    <t>Per the prompt: 7-8 PM on days without a social event, 9-10 PM otherwise. Same-slot, different clock window depending on the day.</t>
  </si>
  <si>
    <t>Combined-site tasks</t>
  </si>
  <si>
    <t>Three tasks cover multiple sites under one (volunteers, minutes) spec: Kitchen &amp; cafe (clean, 2v 20m), Unisex &amp; Lama bathrooms (clean, 1v 10m), and Foyer &amp; lobby (clean, 2v 10m). They are scheduled as single combined entries; per-site detail can be added in the volunteer instructions.</t>
  </si>
  <si>
    <t>Sheet 3 entry format</t>
  </si>
  <si>
    <t>Per the v5 formatting rule:
  • Fixed-slot tasks: 'Slot: task (Nv, Nm)' — e.g., 'Start day: Setup (2v, 15m)'
  • All-day tasks: 'task (Nv, Nm)' (no slot prefix) — e.g., 'Clean (1v, 10m)'
  • One task per line; empty cells stay blank.</t>
  </si>
  <si>
    <t>Glitches in v5 (terminology)</t>
  </si>
  <si>
    <t>Minor inconsistencies between 'all day', 'any time', and 'self-scheduled' across the prompt — I used 'All day' as the slot label everywhere visible (matching the slot table). The body text's phrases like '@ any' and 'self-scheduled' all refer to this same slot. Worth unifying in v6 if edits continue. Also: 'Time –' line is missing a closing parenthesis ('after social event, if any').</t>
  </si>
  <si>
    <t>Start day: Setup (2v, 15m)
End day: Brkdwn (2v, 15m)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</si>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</sst>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7F600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E8F1FA"/>
        <bgColor rgb="FFD9E1F2"/>
      </patternFill>
    </fill>
    <fill>
      <patternFill patternType="solid">
        <fgColor rgb="FFD9E1F2"/>
        <bgColor rgb="FFE8F1FA"/>
      </patternFill>
    </fill>
    <fill>
      <patternFill patternType="solid">
        <fgColor rgb="FFC6E0B4"/>
        <bgColor rgb="FFD9E1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8F1F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2" width="16" customWidth="1"/>
    <col min="3" max="3" width="22" customWidth="1"/>
    <col min="4" max="4" width="24" customWidth="1"/>
    <col min="5" max="5" width="36" customWidth="1"/>
    <col min="6" max="6" width="10" customWidth="1"/>
  </cols>
  <sheetData>
    <row r="1" spans="1:6" ht="18" x14ac:dyDescent="0.4">
      <c r="A1" s="2" t="s">
        <v>0</v>
      </c>
      <c r="B1" s="2"/>
      <c r="C1" s="2"/>
      <c r="D1" s="2"/>
      <c r="E1" s="2"/>
      <c r="F1" s="2"/>
    </row>
    <row r="2" spans="1:6" x14ac:dyDescent="0.35">
      <c r="A2" s="1" t="s">
        <v>1</v>
      </c>
      <c r="B2" s="1"/>
      <c r="C2" s="1"/>
      <c r="D2" s="1"/>
      <c r="E2" s="1"/>
      <c r="F2" s="1"/>
    </row>
    <row r="4" spans="1:6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5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>
        <v>30</v>
      </c>
    </row>
    <row r="6" spans="1:6" x14ac:dyDescent="0.35">
      <c r="A6" s="4" t="s">
        <v>8</v>
      </c>
      <c r="B6" s="4" t="s">
        <v>13</v>
      </c>
      <c r="C6" s="4" t="s">
        <v>14</v>
      </c>
      <c r="D6" s="4" t="s">
        <v>15</v>
      </c>
      <c r="E6" s="4" t="s">
        <v>16</v>
      </c>
      <c r="F6" s="5">
        <v>40</v>
      </c>
    </row>
    <row r="7" spans="1:6" x14ac:dyDescent="0.35">
      <c r="A7" s="4" t="s">
        <v>8</v>
      </c>
      <c r="B7" s="4" t="s">
        <v>13</v>
      </c>
      <c r="C7" s="4" t="s">
        <v>14</v>
      </c>
      <c r="D7" s="4" t="s">
        <v>11</v>
      </c>
      <c r="E7" s="4" t="s">
        <v>17</v>
      </c>
      <c r="F7" s="5">
        <v>30</v>
      </c>
    </row>
    <row r="8" spans="1:6" x14ac:dyDescent="0.35">
      <c r="A8" s="4" t="s">
        <v>8</v>
      </c>
      <c r="B8" s="4" t="s">
        <v>18</v>
      </c>
      <c r="C8" s="4" t="s">
        <v>19</v>
      </c>
      <c r="D8" s="4" t="s">
        <v>20</v>
      </c>
      <c r="E8" s="4" t="s">
        <v>21</v>
      </c>
      <c r="F8" s="5">
        <v>10</v>
      </c>
    </row>
    <row r="9" spans="1:6" x14ac:dyDescent="0.35">
      <c r="A9" s="4" t="s">
        <v>8</v>
      </c>
      <c r="B9" s="4" t="s">
        <v>18</v>
      </c>
      <c r="C9" s="4" t="s">
        <v>19</v>
      </c>
      <c r="D9" s="4" t="s">
        <v>22</v>
      </c>
      <c r="E9" s="4" t="s">
        <v>23</v>
      </c>
      <c r="F9" s="5">
        <v>15</v>
      </c>
    </row>
    <row r="10" spans="1:6" x14ac:dyDescent="0.35">
      <c r="A10" s="4" t="s">
        <v>8</v>
      </c>
      <c r="B10" s="4" t="s">
        <v>18</v>
      </c>
      <c r="C10" s="4" t="s">
        <v>19</v>
      </c>
      <c r="D10" s="4" t="s">
        <v>24</v>
      </c>
      <c r="E10" s="4" t="s">
        <v>25</v>
      </c>
      <c r="F10" s="5">
        <v>8</v>
      </c>
    </row>
    <row r="11" spans="1:6" x14ac:dyDescent="0.35">
      <c r="A11" s="4" t="s">
        <v>8</v>
      </c>
      <c r="B11" s="4" t="s">
        <v>18</v>
      </c>
      <c r="C11" s="4" t="s">
        <v>19</v>
      </c>
      <c r="D11" s="4" t="s">
        <v>26</v>
      </c>
      <c r="E11" s="4" t="s">
        <v>21</v>
      </c>
      <c r="F11" s="5">
        <v>10</v>
      </c>
    </row>
    <row r="12" spans="1:6" x14ac:dyDescent="0.35">
      <c r="A12" s="6" t="s">
        <v>27</v>
      </c>
      <c r="B12" s="6" t="s">
        <v>9</v>
      </c>
      <c r="C12" s="6" t="s">
        <v>10</v>
      </c>
      <c r="D12" s="6" t="s">
        <v>11</v>
      </c>
      <c r="E12" s="6" t="s">
        <v>12</v>
      </c>
      <c r="F12" s="7">
        <v>30</v>
      </c>
    </row>
    <row r="13" spans="1:6" x14ac:dyDescent="0.35">
      <c r="A13" s="6" t="s">
        <v>27</v>
      </c>
      <c r="B13" s="6" t="s">
        <v>13</v>
      </c>
      <c r="C13" s="6" t="s">
        <v>14</v>
      </c>
      <c r="D13" s="6" t="s">
        <v>15</v>
      </c>
      <c r="E13" s="6" t="s">
        <v>16</v>
      </c>
      <c r="F13" s="7">
        <v>40</v>
      </c>
    </row>
    <row r="14" spans="1:6" x14ac:dyDescent="0.35">
      <c r="A14" s="6" t="s">
        <v>27</v>
      </c>
      <c r="B14" s="6" t="s">
        <v>13</v>
      </c>
      <c r="C14" s="6" t="s">
        <v>14</v>
      </c>
      <c r="D14" s="6" t="s">
        <v>11</v>
      </c>
      <c r="E14" s="6" t="s">
        <v>17</v>
      </c>
      <c r="F14" s="7">
        <v>30</v>
      </c>
    </row>
    <row r="15" spans="1:6" x14ac:dyDescent="0.35">
      <c r="A15" s="6" t="s">
        <v>27</v>
      </c>
      <c r="B15" s="6" t="s">
        <v>13</v>
      </c>
      <c r="C15" s="6" t="s">
        <v>14</v>
      </c>
      <c r="D15" s="6" t="s">
        <v>28</v>
      </c>
      <c r="E15" s="6" t="s">
        <v>29</v>
      </c>
      <c r="F15" s="7">
        <v>15</v>
      </c>
    </row>
    <row r="16" spans="1:6" x14ac:dyDescent="0.35">
      <c r="A16" s="6" t="s">
        <v>27</v>
      </c>
      <c r="B16" s="6" t="s">
        <v>18</v>
      </c>
      <c r="C16" s="6" t="s">
        <v>19</v>
      </c>
      <c r="D16" s="6" t="s">
        <v>30</v>
      </c>
      <c r="E16" s="6" t="s">
        <v>31</v>
      </c>
      <c r="F16" s="7">
        <v>40</v>
      </c>
    </row>
    <row r="17" spans="1:6" x14ac:dyDescent="0.35">
      <c r="A17" s="6" t="s">
        <v>27</v>
      </c>
      <c r="B17" s="6" t="s">
        <v>18</v>
      </c>
      <c r="C17" s="6" t="s">
        <v>19</v>
      </c>
      <c r="D17" s="6" t="s">
        <v>20</v>
      </c>
      <c r="E17" s="6" t="s">
        <v>21</v>
      </c>
      <c r="F17" s="7">
        <v>10</v>
      </c>
    </row>
    <row r="18" spans="1:6" x14ac:dyDescent="0.35">
      <c r="A18" s="6" t="s">
        <v>27</v>
      </c>
      <c r="B18" s="6" t="s">
        <v>18</v>
      </c>
      <c r="C18" s="6" t="s">
        <v>19</v>
      </c>
      <c r="D18" s="6" t="s">
        <v>22</v>
      </c>
      <c r="E18" s="6" t="s">
        <v>23</v>
      </c>
      <c r="F18" s="7">
        <v>15</v>
      </c>
    </row>
    <row r="19" spans="1:6" x14ac:dyDescent="0.35">
      <c r="A19" s="6" t="s">
        <v>27</v>
      </c>
      <c r="B19" s="6" t="s">
        <v>18</v>
      </c>
      <c r="C19" s="6" t="s">
        <v>19</v>
      </c>
      <c r="D19" s="6" t="s">
        <v>24</v>
      </c>
      <c r="E19" s="6" t="s">
        <v>25</v>
      </c>
      <c r="F19" s="7">
        <v>8</v>
      </c>
    </row>
    <row r="20" spans="1:6" x14ac:dyDescent="0.35">
      <c r="A20" s="6" t="s">
        <v>27</v>
      </c>
      <c r="B20" s="6" t="s">
        <v>18</v>
      </c>
      <c r="C20" s="6" t="s">
        <v>19</v>
      </c>
      <c r="D20" s="6" t="s">
        <v>26</v>
      </c>
      <c r="E20" s="6" t="s">
        <v>21</v>
      </c>
      <c r="F20" s="7">
        <v>10</v>
      </c>
    </row>
    <row r="21" spans="1:6" x14ac:dyDescent="0.35">
      <c r="A21" s="6" t="s">
        <v>27</v>
      </c>
      <c r="B21" s="6" t="s">
        <v>18</v>
      </c>
      <c r="C21" s="6" t="s">
        <v>19</v>
      </c>
      <c r="D21" s="6" t="s">
        <v>32</v>
      </c>
      <c r="E21" s="6" t="s">
        <v>21</v>
      </c>
      <c r="F21" s="7">
        <v>10</v>
      </c>
    </row>
    <row r="22" spans="1:6" x14ac:dyDescent="0.35">
      <c r="A22" s="4" t="s">
        <v>33</v>
      </c>
      <c r="B22" s="4" t="s">
        <v>9</v>
      </c>
      <c r="C22" s="4" t="s">
        <v>10</v>
      </c>
      <c r="D22" s="4" t="s">
        <v>11</v>
      </c>
      <c r="E22" s="4" t="s">
        <v>12</v>
      </c>
      <c r="F22" s="5">
        <v>30</v>
      </c>
    </row>
    <row r="23" spans="1:6" x14ac:dyDescent="0.35">
      <c r="A23" s="4" t="s">
        <v>33</v>
      </c>
      <c r="B23" s="4" t="s">
        <v>13</v>
      </c>
      <c r="C23" s="4" t="s">
        <v>14</v>
      </c>
      <c r="D23" s="4" t="s">
        <v>15</v>
      </c>
      <c r="E23" s="4" t="s">
        <v>16</v>
      </c>
      <c r="F23" s="5">
        <v>40</v>
      </c>
    </row>
    <row r="24" spans="1:6" x14ac:dyDescent="0.35">
      <c r="A24" s="4" t="s">
        <v>33</v>
      </c>
      <c r="B24" s="4" t="s">
        <v>13</v>
      </c>
      <c r="C24" s="4" t="s">
        <v>14</v>
      </c>
      <c r="D24" s="4" t="s">
        <v>11</v>
      </c>
      <c r="E24" s="4" t="s">
        <v>17</v>
      </c>
      <c r="F24" s="5">
        <v>30</v>
      </c>
    </row>
    <row r="25" spans="1:6" x14ac:dyDescent="0.35">
      <c r="A25" s="4" t="s">
        <v>33</v>
      </c>
      <c r="B25" s="4" t="s">
        <v>18</v>
      </c>
      <c r="C25" s="4" t="s">
        <v>19</v>
      </c>
      <c r="D25" s="4" t="s">
        <v>20</v>
      </c>
      <c r="E25" s="4" t="s">
        <v>21</v>
      </c>
      <c r="F25" s="5">
        <v>10</v>
      </c>
    </row>
    <row r="26" spans="1:6" x14ac:dyDescent="0.35">
      <c r="A26" s="4" t="s">
        <v>33</v>
      </c>
      <c r="B26" s="4" t="s">
        <v>18</v>
      </c>
      <c r="C26" s="4" t="s">
        <v>19</v>
      </c>
      <c r="D26" s="4" t="s">
        <v>22</v>
      </c>
      <c r="E26" s="4" t="s">
        <v>23</v>
      </c>
      <c r="F26" s="5">
        <v>15</v>
      </c>
    </row>
    <row r="27" spans="1:6" x14ac:dyDescent="0.35">
      <c r="A27" s="4" t="s">
        <v>33</v>
      </c>
      <c r="B27" s="4" t="s">
        <v>18</v>
      </c>
      <c r="C27" s="4" t="s">
        <v>19</v>
      </c>
      <c r="D27" s="4" t="s">
        <v>24</v>
      </c>
      <c r="E27" s="4" t="s">
        <v>25</v>
      </c>
      <c r="F27" s="5">
        <v>8</v>
      </c>
    </row>
    <row r="28" spans="1:6" x14ac:dyDescent="0.35">
      <c r="A28" s="4" t="s">
        <v>33</v>
      </c>
      <c r="B28" s="4" t="s">
        <v>18</v>
      </c>
      <c r="C28" s="4" t="s">
        <v>19</v>
      </c>
      <c r="D28" s="4" t="s">
        <v>26</v>
      </c>
      <c r="E28" s="4" t="s">
        <v>21</v>
      </c>
      <c r="F28" s="5">
        <v>10</v>
      </c>
    </row>
    <row r="29" spans="1:6" x14ac:dyDescent="0.35">
      <c r="A29" s="4" t="s">
        <v>33</v>
      </c>
      <c r="B29" s="4" t="s">
        <v>18</v>
      </c>
      <c r="C29" s="4" t="s">
        <v>19</v>
      </c>
      <c r="D29" s="4" t="s">
        <v>34</v>
      </c>
      <c r="E29" s="4" t="s">
        <v>35</v>
      </c>
      <c r="F29" s="5">
        <v>20</v>
      </c>
    </row>
    <row r="30" spans="1:6" x14ac:dyDescent="0.35">
      <c r="A30" s="4" t="s">
        <v>33</v>
      </c>
      <c r="B30" s="4" t="s">
        <v>18</v>
      </c>
      <c r="C30" s="4" t="s">
        <v>19</v>
      </c>
      <c r="D30" s="4" t="s">
        <v>36</v>
      </c>
      <c r="E30" s="4" t="s">
        <v>21</v>
      </c>
      <c r="F30" s="5">
        <v>10</v>
      </c>
    </row>
    <row r="31" spans="1:6" x14ac:dyDescent="0.35">
      <c r="A31" s="6" t="s">
        <v>37</v>
      </c>
      <c r="B31" s="6" t="s">
        <v>9</v>
      </c>
      <c r="C31" s="6" t="s">
        <v>10</v>
      </c>
      <c r="D31" s="6" t="s">
        <v>11</v>
      </c>
      <c r="E31" s="6" t="s">
        <v>12</v>
      </c>
      <c r="F31" s="7">
        <v>30</v>
      </c>
    </row>
    <row r="32" spans="1:6" x14ac:dyDescent="0.35">
      <c r="A32" s="6" t="s">
        <v>37</v>
      </c>
      <c r="B32" s="6" t="s">
        <v>13</v>
      </c>
      <c r="C32" s="6" t="s">
        <v>14</v>
      </c>
      <c r="D32" s="6" t="s">
        <v>15</v>
      </c>
      <c r="E32" s="6" t="s">
        <v>16</v>
      </c>
      <c r="F32" s="7">
        <v>40</v>
      </c>
    </row>
    <row r="33" spans="1:6" x14ac:dyDescent="0.35">
      <c r="A33" s="6" t="s">
        <v>37</v>
      </c>
      <c r="B33" s="6" t="s">
        <v>13</v>
      </c>
      <c r="C33" s="6" t="s">
        <v>14</v>
      </c>
      <c r="D33" s="6" t="s">
        <v>11</v>
      </c>
      <c r="E33" s="6" t="s">
        <v>17</v>
      </c>
      <c r="F33" s="7">
        <v>30</v>
      </c>
    </row>
    <row r="34" spans="1:6" x14ac:dyDescent="0.35">
      <c r="A34" s="6" t="s">
        <v>37</v>
      </c>
      <c r="B34" s="6" t="s">
        <v>13</v>
      </c>
      <c r="C34" s="6" t="s">
        <v>14</v>
      </c>
      <c r="D34" s="6" t="s">
        <v>28</v>
      </c>
      <c r="E34" s="6" t="s">
        <v>29</v>
      </c>
      <c r="F34" s="7">
        <v>15</v>
      </c>
    </row>
    <row r="35" spans="1:6" x14ac:dyDescent="0.35">
      <c r="A35" s="6" t="s">
        <v>37</v>
      </c>
      <c r="B35" s="6" t="s">
        <v>18</v>
      </c>
      <c r="C35" s="6" t="s">
        <v>19</v>
      </c>
      <c r="D35" s="6" t="s">
        <v>30</v>
      </c>
      <c r="E35" s="6" t="s">
        <v>31</v>
      </c>
      <c r="F35" s="7">
        <v>40</v>
      </c>
    </row>
    <row r="36" spans="1:6" x14ac:dyDescent="0.35">
      <c r="A36" s="6" t="s">
        <v>37</v>
      </c>
      <c r="B36" s="6" t="s">
        <v>18</v>
      </c>
      <c r="C36" s="6" t="s">
        <v>19</v>
      </c>
      <c r="D36" s="6" t="s">
        <v>20</v>
      </c>
      <c r="E36" s="6" t="s">
        <v>21</v>
      </c>
      <c r="F36" s="7">
        <v>10</v>
      </c>
    </row>
    <row r="37" spans="1:6" x14ac:dyDescent="0.35">
      <c r="A37" s="6" t="s">
        <v>37</v>
      </c>
      <c r="B37" s="6" t="s">
        <v>18</v>
      </c>
      <c r="C37" s="6" t="s">
        <v>19</v>
      </c>
      <c r="D37" s="6" t="s">
        <v>22</v>
      </c>
      <c r="E37" s="6" t="s">
        <v>23</v>
      </c>
      <c r="F37" s="7">
        <v>15</v>
      </c>
    </row>
    <row r="38" spans="1:6" x14ac:dyDescent="0.35">
      <c r="A38" s="6" t="s">
        <v>37</v>
      </c>
      <c r="B38" s="6" t="s">
        <v>18</v>
      </c>
      <c r="C38" s="6" t="s">
        <v>19</v>
      </c>
      <c r="D38" s="6" t="s">
        <v>24</v>
      </c>
      <c r="E38" s="6" t="s">
        <v>25</v>
      </c>
      <c r="F38" s="7">
        <v>8</v>
      </c>
    </row>
    <row r="39" spans="1:6" x14ac:dyDescent="0.35">
      <c r="A39" s="6" t="s">
        <v>37</v>
      </c>
      <c r="B39" s="6" t="s">
        <v>18</v>
      </c>
      <c r="C39" s="6" t="s">
        <v>19</v>
      </c>
      <c r="D39" s="6" t="s">
        <v>26</v>
      </c>
      <c r="E39" s="6" t="s">
        <v>21</v>
      </c>
      <c r="F39" s="7">
        <v>10</v>
      </c>
    </row>
    <row r="40" spans="1:6" x14ac:dyDescent="0.35">
      <c r="A40" s="6" t="s">
        <v>37</v>
      </c>
      <c r="B40" s="6" t="s">
        <v>18</v>
      </c>
      <c r="C40" s="6" t="s">
        <v>19</v>
      </c>
      <c r="D40" s="6" t="s">
        <v>32</v>
      </c>
      <c r="E40" s="6" t="s">
        <v>21</v>
      </c>
      <c r="F40" s="7">
        <v>10</v>
      </c>
    </row>
    <row r="41" spans="1:6" x14ac:dyDescent="0.35">
      <c r="A41" s="4" t="s">
        <v>38</v>
      </c>
      <c r="B41" s="4" t="s">
        <v>9</v>
      </c>
      <c r="C41" s="4" t="s">
        <v>10</v>
      </c>
      <c r="D41" s="4" t="s">
        <v>11</v>
      </c>
      <c r="E41" s="4" t="s">
        <v>12</v>
      </c>
      <c r="F41" s="5">
        <v>30</v>
      </c>
    </row>
    <row r="42" spans="1:6" x14ac:dyDescent="0.35">
      <c r="A42" s="4" t="s">
        <v>38</v>
      </c>
      <c r="B42" s="4" t="s">
        <v>13</v>
      </c>
      <c r="C42" s="4" t="s">
        <v>14</v>
      </c>
      <c r="D42" s="4" t="s">
        <v>15</v>
      </c>
      <c r="E42" s="4" t="s">
        <v>16</v>
      </c>
      <c r="F42" s="5">
        <v>40</v>
      </c>
    </row>
    <row r="43" spans="1:6" x14ac:dyDescent="0.35">
      <c r="A43" s="4" t="s">
        <v>38</v>
      </c>
      <c r="B43" s="4" t="s">
        <v>13</v>
      </c>
      <c r="C43" s="4" t="s">
        <v>14</v>
      </c>
      <c r="D43" s="4" t="s">
        <v>11</v>
      </c>
      <c r="E43" s="4" t="s">
        <v>17</v>
      </c>
      <c r="F43" s="5">
        <v>30</v>
      </c>
    </row>
    <row r="44" spans="1:6" x14ac:dyDescent="0.35">
      <c r="A44" s="4" t="s">
        <v>38</v>
      </c>
      <c r="B44" s="4" t="s">
        <v>18</v>
      </c>
      <c r="C44" s="4" t="s">
        <v>19</v>
      </c>
      <c r="D44" s="4" t="s">
        <v>20</v>
      </c>
      <c r="E44" s="4" t="s">
        <v>21</v>
      </c>
      <c r="F44" s="5">
        <v>10</v>
      </c>
    </row>
    <row r="45" spans="1:6" x14ac:dyDescent="0.35">
      <c r="A45" s="4" t="s">
        <v>38</v>
      </c>
      <c r="B45" s="4" t="s">
        <v>18</v>
      </c>
      <c r="C45" s="4" t="s">
        <v>19</v>
      </c>
      <c r="D45" s="4" t="s">
        <v>22</v>
      </c>
      <c r="E45" s="4" t="s">
        <v>23</v>
      </c>
      <c r="F45" s="5">
        <v>15</v>
      </c>
    </row>
    <row r="46" spans="1:6" x14ac:dyDescent="0.35">
      <c r="A46" s="4" t="s">
        <v>38</v>
      </c>
      <c r="B46" s="4" t="s">
        <v>18</v>
      </c>
      <c r="C46" s="4" t="s">
        <v>19</v>
      </c>
      <c r="D46" s="4" t="s">
        <v>24</v>
      </c>
      <c r="E46" s="4" t="s">
        <v>25</v>
      </c>
      <c r="F46" s="5">
        <v>8</v>
      </c>
    </row>
    <row r="47" spans="1:6" x14ac:dyDescent="0.35">
      <c r="A47" s="4" t="s">
        <v>38</v>
      </c>
      <c r="B47" s="4" t="s">
        <v>18</v>
      </c>
      <c r="C47" s="4" t="s">
        <v>19</v>
      </c>
      <c r="D47" s="4" t="s">
        <v>26</v>
      </c>
      <c r="E47" s="4" t="s">
        <v>21</v>
      </c>
      <c r="F47" s="5">
        <v>10</v>
      </c>
    </row>
    <row r="48" spans="1:6" x14ac:dyDescent="0.35">
      <c r="A48" s="6" t="s">
        <v>39</v>
      </c>
      <c r="B48" s="6" t="s">
        <v>9</v>
      </c>
      <c r="C48" s="6" t="s">
        <v>10</v>
      </c>
      <c r="D48" s="6" t="s">
        <v>11</v>
      </c>
      <c r="E48" s="6" t="s">
        <v>12</v>
      </c>
      <c r="F48" s="7">
        <v>30</v>
      </c>
    </row>
    <row r="49" spans="1:6" x14ac:dyDescent="0.35">
      <c r="A49" s="6" t="s">
        <v>39</v>
      </c>
      <c r="B49" s="6" t="s">
        <v>13</v>
      </c>
      <c r="C49" s="6" t="s">
        <v>14</v>
      </c>
      <c r="D49" s="6" t="s">
        <v>15</v>
      </c>
      <c r="E49" s="6" t="s">
        <v>16</v>
      </c>
      <c r="F49" s="7">
        <v>40</v>
      </c>
    </row>
    <row r="50" spans="1:6" x14ac:dyDescent="0.35">
      <c r="A50" s="6" t="s">
        <v>39</v>
      </c>
      <c r="B50" s="6" t="s">
        <v>13</v>
      </c>
      <c r="C50" s="6" t="s">
        <v>14</v>
      </c>
      <c r="D50" s="6" t="s">
        <v>11</v>
      </c>
      <c r="E50" s="6" t="s">
        <v>17</v>
      </c>
      <c r="F50" s="7">
        <v>30</v>
      </c>
    </row>
    <row r="51" spans="1:6" x14ac:dyDescent="0.35">
      <c r="A51" s="6" t="s">
        <v>39</v>
      </c>
      <c r="B51" s="6" t="s">
        <v>13</v>
      </c>
      <c r="C51" s="6" t="s">
        <v>14</v>
      </c>
      <c r="D51" s="6" t="s">
        <v>28</v>
      </c>
      <c r="E51" s="6" t="s">
        <v>29</v>
      </c>
      <c r="F51" s="7">
        <v>15</v>
      </c>
    </row>
    <row r="52" spans="1:6" x14ac:dyDescent="0.35">
      <c r="A52" s="6" t="s">
        <v>39</v>
      </c>
      <c r="B52" s="6" t="s">
        <v>18</v>
      </c>
      <c r="C52" s="6" t="s">
        <v>19</v>
      </c>
      <c r="D52" s="6" t="s">
        <v>30</v>
      </c>
      <c r="E52" s="6" t="s">
        <v>31</v>
      </c>
      <c r="F52" s="7">
        <v>40</v>
      </c>
    </row>
    <row r="53" spans="1:6" x14ac:dyDescent="0.35">
      <c r="A53" s="6" t="s">
        <v>39</v>
      </c>
      <c r="B53" s="6" t="s">
        <v>18</v>
      </c>
      <c r="C53" s="6" t="s">
        <v>19</v>
      </c>
      <c r="D53" s="6" t="s">
        <v>20</v>
      </c>
      <c r="E53" s="6" t="s">
        <v>21</v>
      </c>
      <c r="F53" s="7">
        <v>10</v>
      </c>
    </row>
    <row r="54" spans="1:6" x14ac:dyDescent="0.35">
      <c r="A54" s="6" t="s">
        <v>39</v>
      </c>
      <c r="B54" s="6" t="s">
        <v>18</v>
      </c>
      <c r="C54" s="6" t="s">
        <v>19</v>
      </c>
      <c r="D54" s="6" t="s">
        <v>22</v>
      </c>
      <c r="E54" s="6" t="s">
        <v>23</v>
      </c>
      <c r="F54" s="7">
        <v>15</v>
      </c>
    </row>
    <row r="55" spans="1:6" x14ac:dyDescent="0.35">
      <c r="A55" s="6" t="s">
        <v>39</v>
      </c>
      <c r="B55" s="6" t="s">
        <v>18</v>
      </c>
      <c r="C55" s="6" t="s">
        <v>19</v>
      </c>
      <c r="D55" s="6" t="s">
        <v>24</v>
      </c>
      <c r="E55" s="6" t="s">
        <v>25</v>
      </c>
      <c r="F55" s="7">
        <v>8</v>
      </c>
    </row>
    <row r="56" spans="1:6" x14ac:dyDescent="0.35">
      <c r="A56" s="6" t="s">
        <v>39</v>
      </c>
      <c r="B56" s="6" t="s">
        <v>18</v>
      </c>
      <c r="C56" s="6" t="s">
        <v>19</v>
      </c>
      <c r="D56" s="6" t="s">
        <v>26</v>
      </c>
      <c r="E56" s="6" t="s">
        <v>21</v>
      </c>
      <c r="F56" s="7">
        <v>10</v>
      </c>
    </row>
    <row r="57" spans="1:6" x14ac:dyDescent="0.35">
      <c r="A57" s="6" t="s">
        <v>39</v>
      </c>
      <c r="B57" s="6" t="s">
        <v>18</v>
      </c>
      <c r="C57" s="6" t="s">
        <v>19</v>
      </c>
      <c r="D57" s="6" t="s">
        <v>34</v>
      </c>
      <c r="E57" s="6" t="s">
        <v>35</v>
      </c>
      <c r="F57" s="7">
        <v>20</v>
      </c>
    </row>
    <row r="58" spans="1:6" x14ac:dyDescent="0.35">
      <c r="A58" s="6" t="s">
        <v>39</v>
      </c>
      <c r="B58" s="6" t="s">
        <v>18</v>
      </c>
      <c r="C58" s="6" t="s">
        <v>19</v>
      </c>
      <c r="D58" s="6" t="s">
        <v>32</v>
      </c>
      <c r="E58" s="6" t="s">
        <v>21</v>
      </c>
      <c r="F58" s="7">
        <v>10</v>
      </c>
    </row>
    <row r="59" spans="1:6" x14ac:dyDescent="0.35">
      <c r="A59" s="6" t="s">
        <v>39</v>
      </c>
      <c r="B59" s="6" t="s">
        <v>18</v>
      </c>
      <c r="C59" s="6" t="s">
        <v>19</v>
      </c>
      <c r="D59" s="6" t="s">
        <v>36</v>
      </c>
      <c r="E59" s="6" t="s">
        <v>21</v>
      </c>
      <c r="F59" s="7">
        <v>10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18" customWidth="1"/>
    <col min="2" max="2" width="14" customWidth="1"/>
    <col min="3" max="8" width="36" customWidth="1"/>
  </cols>
  <sheetData>
    <row r="1" spans="1:8" ht="18" x14ac:dyDescent="0.4">
      <c r="A1" s="2" t="s">
        <v>40</v>
      </c>
      <c r="B1" s="2"/>
      <c r="C1" s="2"/>
      <c r="D1" s="2"/>
      <c r="E1" s="2"/>
      <c r="F1" s="2"/>
      <c r="G1" s="2"/>
      <c r="H1" s="2"/>
    </row>
    <row r="2" spans="1:8" x14ac:dyDescent="0.35">
      <c r="A2" s="1" t="s">
        <v>41</v>
      </c>
      <c r="B2" s="1"/>
      <c r="C2" s="1"/>
      <c r="D2" s="1"/>
      <c r="E2" s="1"/>
      <c r="F2" s="1"/>
      <c r="G2" s="1"/>
      <c r="H2" s="1"/>
    </row>
    <row r="4" spans="1:8" x14ac:dyDescent="0.35">
      <c r="A4" s="3" t="s">
        <v>3</v>
      </c>
      <c r="B4" s="3" t="s">
        <v>4</v>
      </c>
      <c r="C4" s="3" t="s">
        <v>8</v>
      </c>
      <c r="D4" s="3" t="s">
        <v>27</v>
      </c>
      <c r="E4" s="3" t="s">
        <v>33</v>
      </c>
      <c r="F4" s="3" t="s">
        <v>37</v>
      </c>
      <c r="G4" s="3" t="s">
        <v>38</v>
      </c>
      <c r="H4" s="3" t="s">
        <v>39</v>
      </c>
    </row>
    <row r="5" spans="1:8" ht="27.75" customHeight="1" x14ac:dyDescent="0.35">
      <c r="A5" s="8" t="s">
        <v>9</v>
      </c>
      <c r="B5" s="9" t="s">
        <v>42</v>
      </c>
      <c r="C5" s="4" t="s">
        <v>43</v>
      </c>
      <c r="D5" s="4" t="s">
        <v>43</v>
      </c>
      <c r="E5" s="4" t="s">
        <v>43</v>
      </c>
      <c r="F5" s="4" t="s">
        <v>43</v>
      </c>
      <c r="G5" s="4" t="s">
        <v>43</v>
      </c>
      <c r="H5" s="4" t="s">
        <v>43</v>
      </c>
    </row>
    <row r="6" spans="1:8" ht="27.75" customHeight="1" x14ac:dyDescent="0.35">
      <c r="A6" s="8" t="s">
        <v>44</v>
      </c>
      <c r="B6" s="10" t="s">
        <v>45</v>
      </c>
      <c r="C6" s="6"/>
      <c r="D6" s="6"/>
      <c r="E6" s="6"/>
      <c r="F6" s="6"/>
      <c r="G6" s="6"/>
      <c r="H6" s="6"/>
    </row>
    <row r="7" spans="1:8" ht="27.75" customHeight="1" x14ac:dyDescent="0.35">
      <c r="A7" s="8" t="s">
        <v>46</v>
      </c>
      <c r="B7" s="9" t="s">
        <v>47</v>
      </c>
      <c r="C7" s="4"/>
      <c r="D7" s="4"/>
      <c r="E7" s="4"/>
      <c r="F7" s="4"/>
      <c r="G7" s="4"/>
      <c r="H7" s="4"/>
    </row>
    <row r="8" spans="1:8" ht="27.75" customHeight="1" x14ac:dyDescent="0.35">
      <c r="A8" s="8" t="s">
        <v>48</v>
      </c>
      <c r="B8" s="10" t="s">
        <v>49</v>
      </c>
      <c r="C8" s="6"/>
      <c r="D8" s="6"/>
      <c r="E8" s="6"/>
      <c r="F8" s="6"/>
      <c r="G8" s="6"/>
      <c r="H8" s="6"/>
    </row>
    <row r="9" spans="1:8" ht="27.75" customHeight="1" x14ac:dyDescent="0.35">
      <c r="A9" s="8" t="s">
        <v>50</v>
      </c>
      <c r="B9" s="9" t="s">
        <v>51</v>
      </c>
      <c r="C9" s="4"/>
      <c r="D9" s="4"/>
      <c r="E9" s="4"/>
      <c r="F9" s="4"/>
      <c r="G9" s="4"/>
      <c r="H9" s="4"/>
    </row>
    <row r="10" spans="1:8" ht="48" customHeight="1" x14ac:dyDescent="0.35">
      <c r="A10" s="8" t="s">
        <v>13</v>
      </c>
      <c r="B10" s="10" t="s">
        <v>52</v>
      </c>
      <c r="C10" s="6" t="s">
        <v>53</v>
      </c>
      <c r="D10" s="6" t="s">
        <v>54</v>
      </c>
      <c r="E10" s="6" t="s">
        <v>53</v>
      </c>
      <c r="F10" s="6" t="s">
        <v>54</v>
      </c>
      <c r="G10" s="6" t="s">
        <v>53</v>
      </c>
      <c r="H10" s="6" t="s">
        <v>54</v>
      </c>
    </row>
    <row r="11" spans="1:8" ht="127.5" customHeight="1" x14ac:dyDescent="0.35">
      <c r="A11" s="8" t="s">
        <v>18</v>
      </c>
      <c r="B11" s="9" t="s">
        <v>55</v>
      </c>
      <c r="C11" s="4" t="s">
        <v>56</v>
      </c>
      <c r="D11" s="4" t="s">
        <v>57</v>
      </c>
      <c r="E11" s="4" t="s">
        <v>58</v>
      </c>
      <c r="F11" s="4" t="s">
        <v>57</v>
      </c>
      <c r="G11" s="4" t="s">
        <v>56</v>
      </c>
      <c r="H11" s="4" t="s">
        <v>59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28" sqref="D28"/>
    </sheetView>
  </sheetViews>
  <sheetFormatPr defaultColWidth="8.6328125" defaultRowHeight="14.5" x14ac:dyDescent="0.35"/>
  <cols>
    <col min="1" max="1" width="22" style="16" customWidth="1"/>
    <col min="2" max="8" width="22.7265625" style="16" customWidth="1"/>
    <col min="9" max="16384" width="8.6328125" style="16"/>
  </cols>
  <sheetData>
    <row r="1" spans="1:7" ht="18" x14ac:dyDescent="0.35">
      <c r="A1" s="15" t="s">
        <v>60</v>
      </c>
      <c r="B1" s="15"/>
      <c r="C1" s="15"/>
      <c r="D1" s="15"/>
      <c r="E1" s="15"/>
      <c r="F1" s="15"/>
      <c r="G1" s="15"/>
    </row>
    <row r="2" spans="1:7" x14ac:dyDescent="0.35">
      <c r="A2" s="17" t="s">
        <v>61</v>
      </c>
      <c r="B2" s="17"/>
      <c r="C2" s="17"/>
      <c r="D2" s="17"/>
      <c r="E2" s="17"/>
      <c r="F2" s="17"/>
      <c r="G2" s="17"/>
    </row>
    <row r="4" spans="1:7" x14ac:dyDescent="0.35">
      <c r="A4" s="18" t="s">
        <v>5</v>
      </c>
      <c r="B4" s="18" t="s">
        <v>8</v>
      </c>
      <c r="C4" s="18" t="s">
        <v>27</v>
      </c>
      <c r="D4" s="18" t="s">
        <v>33</v>
      </c>
      <c r="E4" s="18" t="s">
        <v>37</v>
      </c>
      <c r="F4" s="18" t="s">
        <v>38</v>
      </c>
      <c r="G4" s="18" t="s">
        <v>39</v>
      </c>
    </row>
    <row r="5" spans="1:7" ht="25.5" customHeight="1" x14ac:dyDescent="0.35">
      <c r="A5" s="21" t="s">
        <v>15</v>
      </c>
      <c r="B5" s="19" t="s">
        <v>62</v>
      </c>
      <c r="C5" s="19" t="s">
        <v>62</v>
      </c>
      <c r="D5" s="19" t="s">
        <v>62</v>
      </c>
      <c r="E5" s="19" t="s">
        <v>62</v>
      </c>
      <c r="F5" s="19" t="s">
        <v>62</v>
      </c>
      <c r="G5" s="19" t="s">
        <v>62</v>
      </c>
    </row>
    <row r="6" spans="1:7" ht="31.5" customHeight="1" x14ac:dyDescent="0.35">
      <c r="A6" s="21" t="s">
        <v>11</v>
      </c>
      <c r="B6" s="20" t="s">
        <v>101</v>
      </c>
      <c r="C6" s="20" t="s">
        <v>101</v>
      </c>
      <c r="D6" s="20" t="s">
        <v>101</v>
      </c>
      <c r="E6" s="20" t="s">
        <v>101</v>
      </c>
      <c r="F6" s="20" t="s">
        <v>101</v>
      </c>
      <c r="G6" s="20" t="s">
        <v>101</v>
      </c>
    </row>
    <row r="7" spans="1:7" ht="25.5" customHeight="1" x14ac:dyDescent="0.35">
      <c r="A7" s="21" t="s">
        <v>30</v>
      </c>
      <c r="B7" s="19"/>
      <c r="C7" s="19" t="s">
        <v>31</v>
      </c>
      <c r="D7" s="19"/>
      <c r="E7" s="19" t="s">
        <v>31</v>
      </c>
      <c r="F7" s="19"/>
      <c r="G7" s="19" t="s">
        <v>31</v>
      </c>
    </row>
    <row r="8" spans="1:7" ht="25.5" customHeight="1" x14ac:dyDescent="0.35">
      <c r="A8" s="21" t="s">
        <v>20</v>
      </c>
      <c r="B8" s="20" t="s">
        <v>21</v>
      </c>
      <c r="C8" s="20" t="s">
        <v>21</v>
      </c>
      <c r="D8" s="20" t="s">
        <v>21</v>
      </c>
      <c r="E8" s="20" t="s">
        <v>21</v>
      </c>
      <c r="F8" s="20" t="s">
        <v>21</v>
      </c>
      <c r="G8" s="20" t="s">
        <v>21</v>
      </c>
    </row>
    <row r="9" spans="1:7" ht="25.5" customHeight="1" x14ac:dyDescent="0.35">
      <c r="A9" s="21" t="s">
        <v>22</v>
      </c>
      <c r="B9" s="19" t="s">
        <v>23</v>
      </c>
      <c r="C9" s="19" t="s">
        <v>23</v>
      </c>
      <c r="D9" s="19" t="s">
        <v>23</v>
      </c>
      <c r="E9" s="19" t="s">
        <v>23</v>
      </c>
      <c r="F9" s="19" t="s">
        <v>23</v>
      </c>
      <c r="G9" s="19" t="s">
        <v>23</v>
      </c>
    </row>
    <row r="10" spans="1:7" ht="25.5" customHeight="1" x14ac:dyDescent="0.35">
      <c r="A10" s="21" t="s">
        <v>24</v>
      </c>
      <c r="B10" s="20" t="s">
        <v>25</v>
      </c>
      <c r="C10" s="20" t="s">
        <v>25</v>
      </c>
      <c r="D10" s="20" t="s">
        <v>25</v>
      </c>
      <c r="E10" s="20" t="s">
        <v>25</v>
      </c>
      <c r="F10" s="20" t="s">
        <v>25</v>
      </c>
      <c r="G10" s="20" t="s">
        <v>25</v>
      </c>
    </row>
    <row r="11" spans="1:7" ht="25.5" customHeight="1" x14ac:dyDescent="0.35">
      <c r="A11" s="21" t="s">
        <v>26</v>
      </c>
      <c r="B11" s="19" t="s">
        <v>21</v>
      </c>
      <c r="C11" s="19" t="s">
        <v>21</v>
      </c>
      <c r="D11" s="19" t="s">
        <v>21</v>
      </c>
      <c r="E11" s="19" t="s">
        <v>21</v>
      </c>
      <c r="F11" s="19" t="s">
        <v>21</v>
      </c>
      <c r="G11" s="19" t="s">
        <v>21</v>
      </c>
    </row>
    <row r="12" spans="1:7" ht="25.5" customHeight="1" x14ac:dyDescent="0.35">
      <c r="A12" s="21" t="s">
        <v>34</v>
      </c>
      <c r="B12" s="20"/>
      <c r="C12" s="20"/>
      <c r="D12" s="20" t="s">
        <v>35</v>
      </c>
      <c r="E12" s="20"/>
      <c r="F12" s="20"/>
      <c r="G12" s="20" t="s">
        <v>35</v>
      </c>
    </row>
    <row r="13" spans="1:7" ht="25.5" customHeight="1" x14ac:dyDescent="0.35">
      <c r="A13" s="21" t="s">
        <v>32</v>
      </c>
      <c r="B13" s="19"/>
      <c r="C13" s="19" t="s">
        <v>21</v>
      </c>
      <c r="D13" s="19"/>
      <c r="E13" s="19" t="s">
        <v>21</v>
      </c>
      <c r="F13" s="19"/>
      <c r="G13" s="19" t="s">
        <v>21</v>
      </c>
    </row>
    <row r="14" spans="1:7" ht="25.5" customHeight="1" x14ac:dyDescent="0.35">
      <c r="A14" s="21" t="s">
        <v>28</v>
      </c>
      <c r="B14" s="20"/>
      <c r="C14" s="20" t="s">
        <v>63</v>
      </c>
      <c r="D14" s="20"/>
      <c r="E14" s="20" t="s">
        <v>63</v>
      </c>
      <c r="F14" s="20"/>
      <c r="G14" s="20" t="s">
        <v>63</v>
      </c>
    </row>
    <row r="15" spans="1:7" ht="25.5" customHeight="1" x14ac:dyDescent="0.35">
      <c r="A15" s="21" t="s">
        <v>36</v>
      </c>
      <c r="B15" s="19"/>
      <c r="C15" s="19"/>
      <c r="D15" s="19" t="s">
        <v>21</v>
      </c>
      <c r="E15" s="19"/>
      <c r="F15" s="19"/>
      <c r="G15" s="19" t="s">
        <v>21</v>
      </c>
    </row>
    <row r="22" spans="2:2" x14ac:dyDescent="0.35">
      <c r="B22" s="16" t="s">
        <v>102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zoomScaleNormal="100" workbookViewId="0">
      <selection sqref="A1:E1"/>
    </sheetView>
  </sheetViews>
  <sheetFormatPr defaultColWidth="8.6328125" defaultRowHeight="14.5" x14ac:dyDescent="0.35"/>
  <cols>
    <col min="1" max="1" width="8" customWidth="1"/>
    <col min="2" max="2" width="14" customWidth="1"/>
    <col min="3" max="3" width="22" customWidth="1"/>
    <col min="4" max="5" width="26" customWidth="1"/>
  </cols>
  <sheetData>
    <row r="1" spans="1:5" ht="18" x14ac:dyDescent="0.4">
      <c r="A1" s="2" t="s">
        <v>64</v>
      </c>
      <c r="B1" s="2"/>
      <c r="C1" s="2"/>
      <c r="D1" s="2"/>
      <c r="E1" s="2"/>
    </row>
    <row r="2" spans="1:5" x14ac:dyDescent="0.35">
      <c r="A2" s="1" t="s">
        <v>65</v>
      </c>
      <c r="B2" s="1"/>
      <c r="C2" s="1"/>
      <c r="D2" s="1"/>
      <c r="E2" s="1"/>
    </row>
    <row r="4" spans="1:5" ht="28" x14ac:dyDescent="0.35">
      <c r="A4" s="3" t="s">
        <v>2</v>
      </c>
      <c r="B4" s="3" t="s">
        <v>66</v>
      </c>
      <c r="C4" s="3" t="s">
        <v>67</v>
      </c>
      <c r="D4" s="3" t="s">
        <v>68</v>
      </c>
      <c r="E4" s="3" t="s">
        <v>69</v>
      </c>
    </row>
    <row r="5" spans="1:5" x14ac:dyDescent="0.35">
      <c r="A5" s="4" t="s">
        <v>70</v>
      </c>
      <c r="B5" s="4" t="s">
        <v>71</v>
      </c>
      <c r="C5" s="9">
        <v>143</v>
      </c>
      <c r="D5" s="9">
        <v>10</v>
      </c>
      <c r="E5" s="9">
        <v>14.3</v>
      </c>
    </row>
    <row r="6" spans="1:5" x14ac:dyDescent="0.35">
      <c r="A6" s="6" t="s">
        <v>72</v>
      </c>
      <c r="B6" s="6" t="s">
        <v>73</v>
      </c>
      <c r="C6" s="10">
        <v>208</v>
      </c>
      <c r="D6" s="10">
        <v>14</v>
      </c>
      <c r="E6" s="10">
        <v>14.9</v>
      </c>
    </row>
    <row r="7" spans="1:5" x14ac:dyDescent="0.35">
      <c r="A7" s="4" t="s">
        <v>74</v>
      </c>
      <c r="B7" s="4" t="s">
        <v>75</v>
      </c>
      <c r="C7" s="9">
        <v>173</v>
      </c>
      <c r="D7" s="9">
        <v>13</v>
      </c>
      <c r="E7" s="9">
        <v>13.3</v>
      </c>
    </row>
    <row r="8" spans="1:5" x14ac:dyDescent="0.35">
      <c r="A8" s="6" t="s">
        <v>76</v>
      </c>
      <c r="B8" s="6" t="s">
        <v>77</v>
      </c>
      <c r="C8" s="10">
        <v>208</v>
      </c>
      <c r="D8" s="10">
        <v>14</v>
      </c>
      <c r="E8" s="10">
        <v>14.9</v>
      </c>
    </row>
    <row r="9" spans="1:5" x14ac:dyDescent="0.35">
      <c r="A9" s="4" t="s">
        <v>78</v>
      </c>
      <c r="B9" s="4" t="s">
        <v>79</v>
      </c>
      <c r="C9" s="9">
        <v>143</v>
      </c>
      <c r="D9" s="9">
        <v>10</v>
      </c>
      <c r="E9" s="9">
        <v>14.3</v>
      </c>
    </row>
    <row r="10" spans="1:5" x14ac:dyDescent="0.35">
      <c r="A10" s="6" t="s">
        <v>80</v>
      </c>
      <c r="B10" s="6" t="s">
        <v>81</v>
      </c>
      <c r="C10" s="10">
        <v>238</v>
      </c>
      <c r="D10" s="10">
        <v>17</v>
      </c>
      <c r="E10" s="10">
        <v>14</v>
      </c>
    </row>
    <row r="11" spans="1:5" x14ac:dyDescent="0.35">
      <c r="A11" s="11" t="s">
        <v>82</v>
      </c>
      <c r="B11" s="11" t="s">
        <v>83</v>
      </c>
      <c r="C11" s="12">
        <f>SUM(C5:C10)</f>
        <v>1113</v>
      </c>
      <c r="D11" s="12">
        <f>SUM(D5:D10)</f>
        <v>78</v>
      </c>
      <c r="E11" s="12">
        <f>ROUND(C11/D11,1)</f>
        <v>14.3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zoomScaleNormal="100" workbookViewId="0"/>
  </sheetViews>
  <sheetFormatPr defaultColWidth="8.6328125" defaultRowHeight="14.5" x14ac:dyDescent="0.35"/>
  <cols>
    <col min="1" max="1" width="30" customWidth="1"/>
    <col min="2" max="2" width="96" customWidth="1"/>
  </cols>
  <sheetData>
    <row r="1" spans="1:2" ht="18" x14ac:dyDescent="0.4">
      <c r="A1" s="2" t="s">
        <v>84</v>
      </c>
      <c r="B1" s="2"/>
    </row>
    <row r="3" spans="1:2" ht="69.75" customHeight="1" x14ac:dyDescent="0.35">
      <c r="A3" s="13" t="s">
        <v>85</v>
      </c>
      <c r="B3" s="4" t="s">
        <v>86</v>
      </c>
    </row>
    <row r="4" spans="1:2" ht="69.75" customHeight="1" x14ac:dyDescent="0.35">
      <c r="A4" s="14" t="s">
        <v>87</v>
      </c>
      <c r="B4" s="6" t="s">
        <v>88</v>
      </c>
    </row>
    <row r="5" spans="1:2" ht="69.75" customHeight="1" x14ac:dyDescent="0.35">
      <c r="A5" s="13" t="s">
        <v>89</v>
      </c>
      <c r="B5" s="4" t="s">
        <v>90</v>
      </c>
    </row>
    <row r="6" spans="1:2" ht="69.75" customHeight="1" x14ac:dyDescent="0.35">
      <c r="A6" s="14" t="s">
        <v>91</v>
      </c>
      <c r="B6" s="6" t="s">
        <v>92</v>
      </c>
    </row>
    <row r="7" spans="1:2" ht="69.75" customHeight="1" x14ac:dyDescent="0.35">
      <c r="A7" s="13" t="s">
        <v>93</v>
      </c>
      <c r="B7" s="4" t="s">
        <v>94</v>
      </c>
    </row>
    <row r="8" spans="1:2" ht="69.75" customHeight="1" x14ac:dyDescent="0.35">
      <c r="A8" s="14" t="s">
        <v>95</v>
      </c>
      <c r="B8" s="6" t="s">
        <v>96</v>
      </c>
    </row>
    <row r="9" spans="1:2" ht="69.75" customHeight="1" x14ac:dyDescent="0.35">
      <c r="A9" s="13" t="s">
        <v>97</v>
      </c>
      <c r="B9" s="4" t="s">
        <v>98</v>
      </c>
    </row>
    <row r="10" spans="1:2" ht="69.75" customHeight="1" x14ac:dyDescent="0.35">
      <c r="A10" s="14" t="s">
        <v>99</v>
      </c>
      <c r="B10" s="6" t="s">
        <v>100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List by Day-Slot</vt:lpstr>
      <vt:lpstr>2. Slot x Day Matrix</vt:lpstr>
      <vt:lpstr>3. Site Matrix</vt:lpstr>
      <vt:lpstr>4. Metrics</vt:lpstr>
      <vt:lpstr>5.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Lewis</cp:lastModifiedBy>
  <cp:revision>0</cp:revision>
  <dcterms:created xsi:type="dcterms:W3CDTF">2026-05-07T12:27:18Z</dcterms:created>
  <dcterms:modified xsi:type="dcterms:W3CDTF">2026-05-07T23:13:59Z</dcterms:modified>
  <dc:language>en-US</dc:language>
</cp:coreProperties>
</file>