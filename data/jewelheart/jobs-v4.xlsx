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8"/>
  <workbookPr/>
  <mc:AlternateContent xmlns:mc="http://schemas.openxmlformats.org/markup-compatibility/2006">
    <mc:Choice Requires="x15">
      <x15ac:absPath xmlns:x15ac="http://schemas.microsoft.com/office/spreadsheetml/2010/11/ac" url="C:\Data\dev\RetreatVolunteer\Redesign\"/>
    </mc:Choice>
  </mc:AlternateContent>
  <xr:revisionPtr revIDLastSave="0" documentId="13_ncr:1_{5C40E6AF-6727-4173-9355-094ADD505327}" xr6:coauthVersionLast="47" xr6:coauthVersionMax="47" xr10:uidLastSave="{00000000-0000-0000-0000-000000000000}"/>
  <bookViews>
    <workbookView xWindow="6970" yWindow="820" windowWidth="34980" windowHeight="16840" activeTab="3" xr2:uid="{00000000-000D-0000-FFFF-FFFF00000000}"/>
  </bookViews>
  <sheets>
    <sheet name="Jobs" sheetId="9" r:id="rId1"/>
    <sheet name="Poster" sheetId="10" r:id="rId2"/>
    <sheet name="Compact" sheetId="11" r:id="rId3"/>
    <sheet name="Roster" sheetId="12" r:id="rId4"/>
  </sheets>
  <definedNames>
    <definedName name="_xlnm.Print_Area" localSheetId="2">Compact!$A$1:$G$18</definedName>
    <definedName name="_xlnm.Print_Area" localSheetId="0">Jobs!$A$1:$I$18</definedName>
    <definedName name="_xlnm.Print_Area" localSheetId="1">Poster!$A$1:$I$18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10" l="1"/>
  <c r="A8" i="10"/>
  <c r="A9" i="10"/>
  <c r="H9" i="10" s="1"/>
  <c r="A10" i="10"/>
  <c r="A11" i="10"/>
  <c r="H11" i="10" s="1"/>
  <c r="A12" i="10"/>
  <c r="H12" i="10" s="1"/>
  <c r="A13" i="10"/>
  <c r="H13" i="10" s="1"/>
  <c r="A14" i="10"/>
  <c r="H14" i="10" s="1"/>
  <c r="A15" i="10"/>
  <c r="H15" i="10" s="1"/>
  <c r="A16" i="10"/>
  <c r="H16" i="10" s="1"/>
  <c r="A17" i="10"/>
  <c r="A18" i="10"/>
  <c r="A3" i="10"/>
  <c r="H3" i="10" s="1"/>
  <c r="A4" i="10"/>
  <c r="H4" i="10" s="1"/>
  <c r="A5" i="10"/>
  <c r="H5" i="10" s="1"/>
  <c r="A6" i="10"/>
  <c r="H6" i="10" s="1"/>
  <c r="A2" i="10"/>
  <c r="H2" i="10" s="1"/>
  <c r="H17" i="10"/>
  <c r="H18" i="10"/>
  <c r="H7" i="10"/>
  <c r="H8" i="10"/>
  <c r="H10" i="10"/>
  <c r="O9" i="9"/>
  <c r="N9" i="9"/>
  <c r="N8" i="9"/>
  <c r="N5" i="9"/>
  <c r="N6" i="9"/>
  <c r="N7" i="9"/>
  <c r="N10" i="9"/>
  <c r="N11" i="9"/>
  <c r="N12" i="9"/>
  <c r="N13" i="9"/>
  <c r="N15" i="9"/>
  <c r="N16" i="9"/>
  <c r="N17" i="9"/>
  <c r="N18" i="9"/>
  <c r="N14" i="9"/>
  <c r="N2" i="9"/>
  <c r="N3" i="9"/>
  <c r="N4" i="9"/>
  <c r="O8" i="9"/>
  <c r="O14" i="9"/>
  <c r="O18" i="9"/>
  <c r="O17" i="9"/>
  <c r="O16" i="9"/>
  <c r="O15" i="9"/>
  <c r="O13" i="9"/>
  <c r="O12" i="9"/>
  <c r="O11" i="9"/>
  <c r="O10" i="9"/>
  <c r="O7" i="9"/>
  <c r="O6" i="9"/>
  <c r="O5" i="9"/>
  <c r="O4" i="9"/>
  <c r="O3" i="9"/>
  <c r="O2" i="9"/>
</calcChain>
</file>

<file path=xl/sharedStrings.xml><?xml version="1.0" encoding="utf-8"?>
<sst xmlns="http://schemas.openxmlformats.org/spreadsheetml/2006/main" count="177" uniqueCount="94">
  <si>
    <t>Job</t>
  </si>
  <si>
    <t>Est
Min</t>
  </si>
  <si>
    <t>xxxxx</t>
  </si>
  <si>
    <t>Café - lunch break - light cleanup</t>
  </si>
  <si>
    <t>Café - end of day - full cleanup</t>
  </si>
  <si>
    <t>Kitchen - end of day - full cleanup</t>
  </si>
  <si>
    <t>Day 1
Mon - Jul 20</t>
  </si>
  <si>
    <t>Day 2
Tue - July 21</t>
  </si>
  <si>
    <t>Day 3
Wed - Jul 22</t>
  </si>
  <si>
    <t>Day 4
Thu - July 23</t>
  </si>
  <si>
    <t>Day 5
Fri - Jul 24</t>
  </si>
  <si>
    <t>Day 6
Sat - Jul 25</t>
  </si>
  <si>
    <t>Coffee &amp; snacks - evening brkdwn</t>
  </si>
  <si>
    <t>Foyer &amp; lobby - vacuum</t>
  </si>
  <si>
    <t>Front windows - clean</t>
  </si>
  <si>
    <t>Coffee &amp; snacks - morning setup</t>
  </si>
  <si>
    <t>Men's room - clean, stock</t>
  </si>
  <si>
    <t>Women's room - clean, stock</t>
  </si>
  <si>
    <t>Kitchen - lunch break - light cleanup</t>
  </si>
  <si>
    <t xml:space="preserve"> Urinals - check pads, mop (x2)</t>
  </si>
  <si>
    <t>JH office, main hallway - vacuum</t>
  </si>
  <si>
    <t>Coatrm, café hallway - vacuum</t>
  </si>
  <si>
    <t>Tara Paradse, store - vacuum</t>
  </si>
  <si>
    <t>c</t>
  </si>
  <si>
    <t>t</t>
  </si>
  <si>
    <t>Job abbrev</t>
  </si>
  <si>
    <t>len</t>
  </si>
  <si>
    <t>abbrev
 len</t>
  </si>
  <si>
    <t>f</t>
  </si>
  <si>
    <t>v</t>
  </si>
  <si>
    <t>b</t>
  </si>
  <si>
    <t>Ktchn - end of day - clean</t>
  </si>
  <si>
    <t>Café - end of day - clean</t>
  </si>
  <si>
    <t>JH office, hallway - vacuum</t>
  </si>
  <si>
    <t>Coatrm, café hall, - vacuum</t>
  </si>
  <si>
    <t>Foyer, lobby - vacuum</t>
  </si>
  <si>
    <t>Men's room - Clean, stock</t>
  </si>
  <si>
    <t>Urinals - Check pads, mop</t>
  </si>
  <si>
    <t>Coffee, sncks - eve - brkdwn</t>
  </si>
  <si>
    <t>Ktchn - lnch brk - light cln</t>
  </si>
  <si>
    <t>Coffee, sncks - morn - setup</t>
  </si>
  <si>
    <t>Unisx, Lama bathrms - clean</t>
  </si>
  <si>
    <t>Café - lunch brk- light cln</t>
  </si>
  <si>
    <t>Unisx, lama bathrms - clean, stock</t>
  </si>
  <si>
    <t>Tara Paradise, store - vacuum</t>
  </si>
  <si>
    <t>ID</t>
  </si>
  <si>
    <t>e</t>
  </si>
  <si>
    <t>Trash &amp; recycling - end of day</t>
  </si>
  <si>
    <t>Trash, recycle - end of day</t>
  </si>
  <si>
    <t>Dsh twls, mop pds - launder @home</t>
  </si>
  <si>
    <t>Twls, mop pds - laundr home</t>
  </si>
  <si>
    <t>Unisx, lama bthrms, clean &amp; stock</t>
  </si>
  <si>
    <t>Women's room, clean &amp; stock</t>
  </si>
  <si>
    <t xml:space="preserve"> Urinals, check pads &amp; mop</t>
  </si>
  <si>
    <t>Men's room, clean &amp; stock</t>
  </si>
  <si>
    <t>XXXXX</t>
  </si>
  <si>
    <t>Front windows, clean</t>
  </si>
  <si>
    <t>Foyer &amp; lobby, vacuum</t>
  </si>
  <si>
    <t>Coatrm, café hallwy, vacuum</t>
  </si>
  <si>
    <t>JH office, main hallway, vacuum</t>
  </si>
  <si>
    <t>Tara Paradise, store, vacuum</t>
  </si>
  <si>
    <t>Trash &amp; recycling</t>
  </si>
  <si>
    <t>Towels, mop pads, launder at home</t>
  </si>
  <si>
    <t>Coffee &amp; snacks, evening brkdwn</t>
  </si>
  <si>
    <t>Coffee, snacks, morning setup</t>
  </si>
  <si>
    <t>Kitchen, end of day, full cleanup</t>
  </si>
  <si>
    <t>Kitchen, lunch brk, light cleanup</t>
  </si>
  <si>
    <t>Café, end of day, full cleanup</t>
  </si>
  <si>
    <t>Café, lunch break, light cleanup</t>
  </si>
  <si>
    <t>Day 6
Sat, Jul 25</t>
  </si>
  <si>
    <t>Day 5
Fri, Jul 24</t>
  </si>
  <si>
    <t>Day 4
Thu, July 23</t>
  </si>
  <si>
    <t>Day 3
Wed, Jul 22</t>
  </si>
  <si>
    <t>Day 2
Tue, July 21</t>
  </si>
  <si>
    <t>Day 1
Mon, Jul 20</t>
  </si>
  <si>
    <t>First</t>
  </si>
  <si>
    <t>Last</t>
  </si>
  <si>
    <t>email</t>
  </si>
  <si>
    <t>manage</t>
  </si>
  <si>
    <t>admin</t>
  </si>
  <si>
    <t>phone</t>
  </si>
  <si>
    <t>David</t>
  </si>
  <si>
    <t>Lewis</t>
  </si>
  <si>
    <t>djlewis@triadic.com</t>
  </si>
  <si>
    <t>978-618-5709</t>
  </si>
  <si>
    <t>y</t>
  </si>
  <si>
    <t>Kevin</t>
  </si>
  <si>
    <t>Woods</t>
  </si>
  <si>
    <t>Ann</t>
  </si>
  <si>
    <t>Esckilsen</t>
  </si>
  <si>
    <t>kevinalexwoods@gmail.com</t>
  </si>
  <si>
    <t>714-955-9394</t>
  </si>
  <si>
    <t>612-453-9251</t>
  </si>
  <si>
    <t>arodgersreese63@gmail.com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</si>
</sst>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name val="Arial"/>
      <family val="2"/>
    </font>
    <font>
      <sz val="12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8"/>
      <color rgb="FFFFFFFF"/>
      <name val="Arial"/>
      <family val="2"/>
    </font>
    <font>
      <sz val="18"/>
      <color theme="1"/>
      <name val="Calibri"/>
      <family val="2"/>
      <scheme val="minor"/>
    </font>
    <font>
      <b/>
      <sz val="18"/>
      <name val="Arial"/>
      <family val="2"/>
    </font>
    <font>
      <sz val="18"/>
      <color theme="1"/>
      <name val="Calibri"/>
      <family val="2"/>
      <charset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rgb="FFFFFF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theme="0"/>
        <bgColor indexed="64"/>
      </patternFill>
    </fill>
    <fill>
      <patternFill patternType="solid">
        <fgColor rgb="FFF8FFF7"/>
        <bgColor indexed="64"/>
      </patternFill>
    </fill>
    <fill>
      <patternFill patternType="darkHorizontal">
        <fgColor rgb="FF808080"/>
        <bgColor rgb="FFFFFFFF"/>
      </patternFill>
    </fill>
    <fill>
      <patternFill patternType="darkHorizontal">
        <fgColor rgb="FF808080"/>
        <bgColor rgb="FFF8FFF7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right" vertical="center" wrapText="1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2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10" fillId="0" borderId="0" xfId="0" applyFont="1"/>
    <xf numFmtId="0" fontId="10" fillId="8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8FFF7"/>
      <color rgb="FFEAD4D3"/>
      <color rgb="FFF5F0F0"/>
      <color rgb="FFFAFBF7"/>
      <color rgb="FFF1F5E7"/>
      <color rgb="FFFCFDF9"/>
      <color rgb="FFFAF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85BD0-E23F-4FDB-888B-00E11DF0A54A}">
  <sheetPr>
    <pageSetUpPr fitToPage="1"/>
  </sheetPr>
  <dimension ref="A1:O18"/>
  <sheetViews>
    <sheetView workbookViewId="0">
      <selection activeCell="E20" sqref="E20"/>
    </sheetView>
  </sheetViews>
  <sheetFormatPr defaultColWidth="92.81640625" defaultRowHeight="23.5"/>
  <cols>
    <col min="1" max="1" width="6.26953125" style="6" customWidth="1"/>
    <col min="2" max="2" width="66.26953125" style="6" customWidth="1"/>
    <col min="3" max="5" width="20.6328125" style="6" customWidth="1"/>
    <col min="6" max="6" width="21.6328125" style="6" customWidth="1"/>
    <col min="7" max="8" width="20.6328125" style="6" customWidth="1"/>
    <col min="9" max="9" width="5.90625" style="3" customWidth="1"/>
    <col min="10" max="12" width="2.90625" style="2" customWidth="1"/>
    <col min="13" max="13" width="38.08984375" style="14" customWidth="1"/>
    <col min="14" max="14" width="8.7265625" style="2"/>
    <col min="15" max="15" width="9.36328125" style="2" customWidth="1"/>
    <col min="16" max="16" width="15.81640625" style="6" customWidth="1"/>
    <col min="17" max="16384" width="92.81640625" style="6"/>
  </cols>
  <sheetData>
    <row r="1" spans="1:15" ht="70" thickTop="1" thickBot="1">
      <c r="A1" s="5" t="s">
        <v>45</v>
      </c>
      <c r="B1" s="5" t="s">
        <v>0</v>
      </c>
      <c r="C1" s="5" t="s">
        <v>6</v>
      </c>
      <c r="D1" s="5" t="s">
        <v>7</v>
      </c>
      <c r="E1" s="5" t="s">
        <v>8</v>
      </c>
      <c r="F1" s="5" t="s">
        <v>9</v>
      </c>
      <c r="G1" s="5" t="s">
        <v>10</v>
      </c>
      <c r="H1" s="5" t="s">
        <v>11</v>
      </c>
      <c r="I1" s="4" t="s">
        <v>1</v>
      </c>
      <c r="J1" s="10" t="s">
        <v>23</v>
      </c>
      <c r="K1" s="10" t="s">
        <v>24</v>
      </c>
      <c r="L1" s="10" t="s">
        <v>46</v>
      </c>
      <c r="M1" s="10" t="s">
        <v>25</v>
      </c>
      <c r="N1" s="4" t="s">
        <v>26</v>
      </c>
      <c r="O1" s="4" t="s">
        <v>27</v>
      </c>
    </row>
    <row r="2" spans="1:15" ht="24" thickTop="1">
      <c r="A2" s="9">
        <v>1</v>
      </c>
      <c r="B2" s="7" t="s">
        <v>3</v>
      </c>
      <c r="C2" s="8"/>
      <c r="D2" s="9"/>
      <c r="E2" s="9"/>
      <c r="F2" s="9"/>
      <c r="G2" s="9"/>
      <c r="H2" s="9"/>
      <c r="I2" s="1">
        <v>15</v>
      </c>
      <c r="J2" s="11">
        <v>1</v>
      </c>
      <c r="K2" s="11" t="s">
        <v>28</v>
      </c>
      <c r="L2" s="11"/>
      <c r="M2" s="13" t="s">
        <v>42</v>
      </c>
      <c r="N2" s="12">
        <f t="shared" ref="N2:N18" si="0">LEN(B2)</f>
        <v>34</v>
      </c>
      <c r="O2" s="12">
        <f>LEN(M2)</f>
        <v>27</v>
      </c>
    </row>
    <row r="3" spans="1:15">
      <c r="A3" s="9">
        <v>2</v>
      </c>
      <c r="B3" s="7" t="s">
        <v>4</v>
      </c>
      <c r="C3" s="9"/>
      <c r="D3" s="9"/>
      <c r="E3" s="9"/>
      <c r="F3" s="9"/>
      <c r="G3" s="9"/>
      <c r="H3" s="9"/>
      <c r="I3" s="1">
        <v>25</v>
      </c>
      <c r="J3" s="11">
        <v>1</v>
      </c>
      <c r="K3" s="11" t="s">
        <v>28</v>
      </c>
      <c r="L3" s="11"/>
      <c r="M3" s="13" t="s">
        <v>32</v>
      </c>
      <c r="N3" s="12">
        <f t="shared" si="0"/>
        <v>32</v>
      </c>
      <c r="O3" s="12">
        <f>LEN(M3)</f>
        <v>25</v>
      </c>
    </row>
    <row r="4" spans="1:15">
      <c r="A4" s="9">
        <v>3</v>
      </c>
      <c r="B4" s="7" t="s">
        <v>18</v>
      </c>
      <c r="C4" s="8"/>
      <c r="D4" s="9"/>
      <c r="E4" s="9"/>
      <c r="F4" s="9"/>
      <c r="G4" s="9"/>
      <c r="H4" s="9"/>
      <c r="I4" s="1">
        <v>15</v>
      </c>
      <c r="J4" s="11">
        <v>1</v>
      </c>
      <c r="K4" s="11" t="s">
        <v>28</v>
      </c>
      <c r="L4" s="11"/>
      <c r="M4" s="13" t="s">
        <v>39</v>
      </c>
      <c r="N4" s="12">
        <f t="shared" si="0"/>
        <v>37</v>
      </c>
      <c r="O4" s="12">
        <f>LEN(M4)</f>
        <v>28</v>
      </c>
    </row>
    <row r="5" spans="1:15">
      <c r="A5" s="9">
        <v>4</v>
      </c>
      <c r="B5" s="7" t="s">
        <v>5</v>
      </c>
      <c r="C5" s="9"/>
      <c r="D5" s="9"/>
      <c r="E5" s="9"/>
      <c r="F5" s="9"/>
      <c r="G5" s="9"/>
      <c r="H5" s="9"/>
      <c r="I5" s="1">
        <v>30</v>
      </c>
      <c r="J5" s="11">
        <v>1</v>
      </c>
      <c r="K5" s="11" t="s">
        <v>28</v>
      </c>
      <c r="L5" s="11"/>
      <c r="M5" s="13" t="s">
        <v>31</v>
      </c>
      <c r="N5" s="12">
        <f t="shared" si="0"/>
        <v>35</v>
      </c>
      <c r="O5" s="12">
        <f>LEN(M5)</f>
        <v>26</v>
      </c>
    </row>
    <row r="6" spans="1:15">
      <c r="A6" s="9">
        <v>5</v>
      </c>
      <c r="B6" s="7" t="s">
        <v>15</v>
      </c>
      <c r="C6" s="9"/>
      <c r="D6" s="9"/>
      <c r="E6" s="9"/>
      <c r="F6" s="9"/>
      <c r="G6" s="9"/>
      <c r="H6" s="9"/>
      <c r="I6" s="1">
        <v>20</v>
      </c>
      <c r="J6" s="11">
        <v>1</v>
      </c>
      <c r="K6" s="11" t="s">
        <v>28</v>
      </c>
      <c r="L6" s="11" t="s">
        <v>46</v>
      </c>
      <c r="M6" s="13" t="s">
        <v>40</v>
      </c>
      <c r="N6" s="12">
        <f t="shared" si="0"/>
        <v>31</v>
      </c>
      <c r="O6" s="12">
        <f t="shared" ref="O6:O18" si="1">LEN(M6)</f>
        <v>28</v>
      </c>
    </row>
    <row r="7" spans="1:15">
      <c r="A7" s="9">
        <v>6</v>
      </c>
      <c r="B7" s="7" t="s">
        <v>12</v>
      </c>
      <c r="C7" s="9"/>
      <c r="D7" s="9"/>
      <c r="E7" s="9"/>
      <c r="F7" s="9"/>
      <c r="G7" s="9"/>
      <c r="H7" s="9"/>
      <c r="I7" s="1">
        <v>20</v>
      </c>
      <c r="J7" s="11">
        <v>1</v>
      </c>
      <c r="K7" s="11" t="s">
        <v>28</v>
      </c>
      <c r="L7" s="11"/>
      <c r="M7" s="13" t="s">
        <v>38</v>
      </c>
      <c r="N7" s="12">
        <f t="shared" si="0"/>
        <v>32</v>
      </c>
      <c r="O7" s="12">
        <f t="shared" si="1"/>
        <v>28</v>
      </c>
    </row>
    <row r="8" spans="1:15">
      <c r="A8" s="9">
        <v>7</v>
      </c>
      <c r="B8" s="7" t="s">
        <v>49</v>
      </c>
      <c r="C8" s="9" t="s">
        <v>2</v>
      </c>
      <c r="D8" s="9" t="s">
        <v>2</v>
      </c>
      <c r="E8" s="9"/>
      <c r="F8" s="9" t="s">
        <v>2</v>
      </c>
      <c r="G8" s="9" t="s">
        <v>2</v>
      </c>
      <c r="H8" s="9"/>
      <c r="I8" s="1">
        <v>15</v>
      </c>
      <c r="J8" s="11">
        <v>1</v>
      </c>
      <c r="K8" s="11" t="s">
        <v>28</v>
      </c>
      <c r="L8" s="11"/>
      <c r="M8" s="13" t="s">
        <v>50</v>
      </c>
      <c r="N8" s="12">
        <f>LEN(B8)</f>
        <v>33</v>
      </c>
      <c r="O8" s="12">
        <f>LEN(M8)</f>
        <v>27</v>
      </c>
    </row>
    <row r="9" spans="1:15">
      <c r="A9" s="9">
        <v>8</v>
      </c>
      <c r="B9" s="7" t="s">
        <v>47</v>
      </c>
      <c r="C9" s="9"/>
      <c r="D9" s="9"/>
      <c r="E9" s="9"/>
      <c r="F9" s="9"/>
      <c r="G9" s="9"/>
      <c r="H9" s="9"/>
      <c r="I9" s="1">
        <v>15</v>
      </c>
      <c r="J9" s="11">
        <v>1</v>
      </c>
      <c r="K9" s="11" t="s">
        <v>28</v>
      </c>
      <c r="L9" s="11"/>
      <c r="M9" s="13" t="s">
        <v>48</v>
      </c>
      <c r="N9" s="12">
        <f>LEN(B9)</f>
        <v>30</v>
      </c>
      <c r="O9" s="12">
        <f>LEN(M9)</f>
        <v>27</v>
      </c>
    </row>
    <row r="10" spans="1:15">
      <c r="A10" s="9">
        <v>9</v>
      </c>
      <c r="B10" s="7" t="s">
        <v>44</v>
      </c>
      <c r="C10" s="9" t="s">
        <v>2</v>
      </c>
      <c r="D10" s="9"/>
      <c r="E10" s="9" t="s">
        <v>2</v>
      </c>
      <c r="F10" s="9"/>
      <c r="G10" s="9" t="s">
        <v>2</v>
      </c>
      <c r="H10" s="9"/>
      <c r="I10" s="1">
        <v>15</v>
      </c>
      <c r="J10" s="11">
        <v>1</v>
      </c>
      <c r="K10" s="11" t="s">
        <v>29</v>
      </c>
      <c r="L10" s="11"/>
      <c r="M10" s="13" t="s">
        <v>22</v>
      </c>
      <c r="N10" s="12">
        <f t="shared" si="0"/>
        <v>29</v>
      </c>
      <c r="O10" s="12">
        <f t="shared" si="1"/>
        <v>28</v>
      </c>
    </row>
    <row r="11" spans="1:15">
      <c r="A11" s="9">
        <v>10</v>
      </c>
      <c r="B11" s="7" t="s">
        <v>20</v>
      </c>
      <c r="C11" s="9" t="s">
        <v>2</v>
      </c>
      <c r="D11" s="9"/>
      <c r="E11" s="9" t="s">
        <v>2</v>
      </c>
      <c r="F11" s="9"/>
      <c r="G11" s="9" t="s">
        <v>2</v>
      </c>
      <c r="H11" s="9"/>
      <c r="I11" s="1">
        <v>15</v>
      </c>
      <c r="J11" s="11">
        <v>1</v>
      </c>
      <c r="K11" s="11" t="s">
        <v>29</v>
      </c>
      <c r="L11" s="11"/>
      <c r="M11" s="13" t="s">
        <v>33</v>
      </c>
      <c r="N11" s="12">
        <f t="shared" si="0"/>
        <v>32</v>
      </c>
      <c r="O11" s="12">
        <f t="shared" si="1"/>
        <v>27</v>
      </c>
    </row>
    <row r="12" spans="1:15">
      <c r="A12" s="9">
        <v>11</v>
      </c>
      <c r="B12" s="7" t="s">
        <v>21</v>
      </c>
      <c r="C12" s="9"/>
      <c r="D12" s="9"/>
      <c r="E12" s="9"/>
      <c r="F12" s="9"/>
      <c r="G12" s="9"/>
      <c r="H12" s="9"/>
      <c r="I12" s="1">
        <v>15</v>
      </c>
      <c r="J12" s="11">
        <v>1</v>
      </c>
      <c r="K12" s="11" t="s">
        <v>29</v>
      </c>
      <c r="L12" s="11"/>
      <c r="M12" s="13" t="s">
        <v>34</v>
      </c>
      <c r="N12" s="12">
        <f t="shared" si="0"/>
        <v>29</v>
      </c>
      <c r="O12" s="12">
        <f t="shared" si="1"/>
        <v>27</v>
      </c>
    </row>
    <row r="13" spans="1:15">
      <c r="A13" s="9">
        <v>12</v>
      </c>
      <c r="B13" s="7" t="s">
        <v>13</v>
      </c>
      <c r="C13" s="9" t="s">
        <v>2</v>
      </c>
      <c r="D13" s="9" t="s">
        <v>2</v>
      </c>
      <c r="E13" s="9"/>
      <c r="F13" s="9" t="s">
        <v>2</v>
      </c>
      <c r="G13" s="9" t="s">
        <v>2</v>
      </c>
      <c r="H13" s="9"/>
      <c r="I13" s="1">
        <v>20</v>
      </c>
      <c r="J13" s="11">
        <v>1</v>
      </c>
      <c r="K13" s="11" t="s">
        <v>29</v>
      </c>
      <c r="L13" s="11"/>
      <c r="M13" s="13" t="s">
        <v>35</v>
      </c>
      <c r="N13" s="12">
        <f t="shared" si="0"/>
        <v>22</v>
      </c>
      <c r="O13" s="12">
        <f t="shared" si="1"/>
        <v>21</v>
      </c>
    </row>
    <row r="14" spans="1:15">
      <c r="A14" s="9">
        <v>13</v>
      </c>
      <c r="B14" s="7" t="s">
        <v>14</v>
      </c>
      <c r="C14" s="9" t="s">
        <v>2</v>
      </c>
      <c r="D14" s="9" t="s">
        <v>2</v>
      </c>
      <c r="E14" s="9"/>
      <c r="F14" s="9" t="s">
        <v>2</v>
      </c>
      <c r="G14" s="9" t="s">
        <v>2</v>
      </c>
      <c r="H14" s="9"/>
      <c r="I14" s="1">
        <v>15</v>
      </c>
      <c r="J14" s="11">
        <v>1</v>
      </c>
      <c r="K14" s="11" t="s">
        <v>29</v>
      </c>
      <c r="L14" s="11"/>
      <c r="M14" s="13" t="s">
        <v>14</v>
      </c>
      <c r="N14" s="12">
        <f>LEN(B14)</f>
        <v>21</v>
      </c>
      <c r="O14" s="12">
        <f>LEN(M14)</f>
        <v>21</v>
      </c>
    </row>
    <row r="15" spans="1:15">
      <c r="A15" s="9">
        <v>14</v>
      </c>
      <c r="B15" s="7" t="s">
        <v>16</v>
      </c>
      <c r="C15" s="9"/>
      <c r="D15" s="9"/>
      <c r="E15" s="9"/>
      <c r="F15" s="9"/>
      <c r="G15" s="9"/>
      <c r="H15" s="9"/>
      <c r="I15" s="1">
        <v>15</v>
      </c>
      <c r="J15" s="11">
        <v>1</v>
      </c>
      <c r="K15" s="11" t="s">
        <v>30</v>
      </c>
      <c r="L15" s="11"/>
      <c r="M15" s="13" t="s">
        <v>36</v>
      </c>
      <c r="N15" s="12">
        <f t="shared" si="0"/>
        <v>25</v>
      </c>
      <c r="O15" s="12">
        <f t="shared" si="1"/>
        <v>25</v>
      </c>
    </row>
    <row r="16" spans="1:15">
      <c r="A16" s="9">
        <v>15</v>
      </c>
      <c r="B16" s="7" t="s">
        <v>19</v>
      </c>
      <c r="C16" s="9"/>
      <c r="D16" s="9"/>
      <c r="E16" s="9"/>
      <c r="F16" s="9"/>
      <c r="G16" s="9"/>
      <c r="H16" s="9"/>
      <c r="I16" s="1">
        <v>15</v>
      </c>
      <c r="J16" s="11">
        <v>2</v>
      </c>
      <c r="K16" s="11" t="s">
        <v>30</v>
      </c>
      <c r="L16" s="11"/>
      <c r="M16" s="13" t="s">
        <v>37</v>
      </c>
      <c r="N16" s="12">
        <f t="shared" si="0"/>
        <v>31</v>
      </c>
      <c r="O16" s="12">
        <f t="shared" si="1"/>
        <v>25</v>
      </c>
    </row>
    <row r="17" spans="1:15">
      <c r="A17" s="9">
        <v>16</v>
      </c>
      <c r="B17" s="7" t="s">
        <v>17</v>
      </c>
      <c r="C17" s="9"/>
      <c r="D17" s="9"/>
      <c r="E17" s="9"/>
      <c r="F17" s="9"/>
      <c r="G17" s="9"/>
      <c r="H17" s="9"/>
      <c r="I17" s="1">
        <v>15</v>
      </c>
      <c r="J17" s="11">
        <v>1</v>
      </c>
      <c r="K17" s="11" t="s">
        <v>30</v>
      </c>
      <c r="L17" s="11"/>
      <c r="M17" s="13" t="s">
        <v>17</v>
      </c>
      <c r="N17" s="12">
        <f t="shared" si="0"/>
        <v>27</v>
      </c>
      <c r="O17" s="12">
        <f t="shared" si="1"/>
        <v>27</v>
      </c>
    </row>
    <row r="18" spans="1:15">
      <c r="A18" s="9">
        <v>17</v>
      </c>
      <c r="B18" s="7" t="s">
        <v>43</v>
      </c>
      <c r="C18" s="9"/>
      <c r="D18" s="9"/>
      <c r="E18" s="9"/>
      <c r="F18" s="9"/>
      <c r="G18" s="9"/>
      <c r="H18" s="9"/>
      <c r="I18" s="1">
        <v>15</v>
      </c>
      <c r="J18" s="11">
        <v>1</v>
      </c>
      <c r="K18" s="11" t="s">
        <v>30</v>
      </c>
      <c r="L18" s="11"/>
      <c r="M18" s="13" t="s">
        <v>41</v>
      </c>
      <c r="N18" s="12">
        <f t="shared" si="0"/>
        <v>34</v>
      </c>
      <c r="O18" s="12">
        <f t="shared" si="1"/>
        <v>27</v>
      </c>
    </row>
  </sheetData>
  <pageMargins left="0.1" right="0.1" top="0.1" bottom="0.1" header="0.1" footer="0.1"/>
  <pageSetup scale="6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F651B-FC47-4138-9E83-09F62C748551}">
  <sheetPr>
    <pageSetUpPr fitToPage="1"/>
  </sheetPr>
  <dimension ref="A1:M18"/>
  <sheetViews>
    <sheetView zoomScaleNormal="100" workbookViewId="0">
      <selection activeCell="E16" sqref="E16"/>
    </sheetView>
  </sheetViews>
  <sheetFormatPr defaultRowHeight="15.5"/>
  <cols>
    <col min="1" max="1" width="22.36328125" style="2" customWidth="1"/>
    <col min="2" max="7" width="24.6328125" style="3" customWidth="1"/>
    <col min="8" max="8" width="22.36328125" style="2" customWidth="1"/>
    <col min="9" max="9" width="5.90625" style="3" customWidth="1"/>
    <col min="10" max="10" width="6.1796875" style="2" customWidth="1"/>
    <col min="11" max="11" width="22.36328125" style="15" customWidth="1"/>
    <col min="12" max="13" width="8.7265625" style="2"/>
    <col min="14" max="16384" width="8.7265625" style="3"/>
  </cols>
  <sheetData>
    <row r="1" spans="1:11" ht="36">
      <c r="A1" s="4" t="s">
        <v>0</v>
      </c>
      <c r="B1" s="4" t="s">
        <v>74</v>
      </c>
      <c r="C1" s="4" t="s">
        <v>73</v>
      </c>
      <c r="D1" s="4" t="s">
        <v>72</v>
      </c>
      <c r="E1" s="4" t="s">
        <v>71</v>
      </c>
      <c r="F1" s="4" t="s">
        <v>70</v>
      </c>
      <c r="G1" s="4" t="s">
        <v>69</v>
      </c>
      <c r="H1" s="4" t="s">
        <v>0</v>
      </c>
      <c r="I1" s="4" t="s">
        <v>1</v>
      </c>
    </row>
    <row r="2" spans="1:11" ht="31">
      <c r="A2" s="16" t="str">
        <f>Jobs!B2</f>
        <v>Café - lunch break - light cleanup</v>
      </c>
      <c r="B2" s="17"/>
      <c r="C2" s="17"/>
      <c r="D2" s="17"/>
      <c r="E2" s="17"/>
      <c r="F2" s="17"/>
      <c r="G2" s="17"/>
      <c r="H2" s="16" t="str">
        <f>A2</f>
        <v>Café - lunch break - light cleanup</v>
      </c>
      <c r="I2" s="1">
        <v>15</v>
      </c>
    </row>
    <row r="3" spans="1:11" ht="31">
      <c r="A3" s="16" t="str">
        <f>Jobs!B3</f>
        <v>Café - end of day - full cleanup</v>
      </c>
      <c r="B3" s="17"/>
      <c r="C3" s="17"/>
      <c r="D3" s="17"/>
      <c r="E3" s="17"/>
      <c r="F3" s="17"/>
      <c r="G3" s="17"/>
      <c r="H3" s="16" t="str">
        <f>A3</f>
        <v>Café - end of day - full cleanup</v>
      </c>
      <c r="I3" s="1">
        <v>20</v>
      </c>
    </row>
    <row r="4" spans="1:11" ht="31">
      <c r="A4" s="16" t="str">
        <f>Jobs!B4</f>
        <v>Kitchen - lunch break - light cleanup</v>
      </c>
      <c r="B4" s="17"/>
      <c r="C4" s="17"/>
      <c r="D4" s="17"/>
      <c r="E4" s="17"/>
      <c r="F4" s="17"/>
      <c r="G4" s="17"/>
      <c r="H4" s="16" t="str">
        <f>A4</f>
        <v>Kitchen - lunch break - light cleanup</v>
      </c>
      <c r="I4" s="1">
        <v>15</v>
      </c>
    </row>
    <row r="5" spans="1:11" ht="31">
      <c r="A5" s="16" t="str">
        <f>Jobs!B5</f>
        <v>Kitchen - end of day - full cleanup</v>
      </c>
      <c r="B5" s="17"/>
      <c r="C5" s="17"/>
      <c r="D5" s="17"/>
      <c r="E5" s="17"/>
      <c r="F5" s="17"/>
      <c r="G5" s="17"/>
      <c r="H5" s="16" t="str">
        <f>A5</f>
        <v>Kitchen - end of day - full cleanup</v>
      </c>
      <c r="I5" s="1">
        <v>25</v>
      </c>
    </row>
    <row r="6" spans="1:11" ht="31">
      <c r="A6" s="16" t="str">
        <f>Jobs!B6</f>
        <v>Coffee &amp; snacks - morning setup</v>
      </c>
      <c r="B6" s="17"/>
      <c r="C6" s="17"/>
      <c r="D6" s="17"/>
      <c r="E6" s="17"/>
      <c r="F6" s="17"/>
      <c r="G6" s="17"/>
      <c r="H6" s="16" t="str">
        <f>A6</f>
        <v>Coffee &amp; snacks - morning setup</v>
      </c>
      <c r="I6" s="1">
        <v>15</v>
      </c>
    </row>
    <row r="7" spans="1:11" ht="31">
      <c r="A7" s="16" t="str">
        <f>Jobs!B7</f>
        <v>Coffee &amp; snacks - evening brkdwn</v>
      </c>
      <c r="B7" s="17"/>
      <c r="C7" s="17"/>
      <c r="D7" s="17"/>
      <c r="E7" s="17"/>
      <c r="F7" s="17"/>
      <c r="G7" s="17"/>
      <c r="H7" s="16" t="str">
        <f>A7</f>
        <v>Coffee &amp; snacks - evening brkdwn</v>
      </c>
      <c r="I7" s="1">
        <v>15</v>
      </c>
    </row>
    <row r="8" spans="1:11" ht="31">
      <c r="A8" s="16" t="str">
        <f>Jobs!B8</f>
        <v>Dsh twls, mop pds - launder @home</v>
      </c>
      <c r="B8" s="19" t="s">
        <v>55</v>
      </c>
      <c r="C8" s="17"/>
      <c r="D8" s="19" t="s">
        <v>55</v>
      </c>
      <c r="E8" s="17"/>
      <c r="F8" s="19" t="s">
        <v>55</v>
      </c>
      <c r="G8" s="17"/>
      <c r="H8" s="16" t="str">
        <f>A8</f>
        <v>Dsh twls, mop pds - launder @home</v>
      </c>
      <c r="I8" s="1">
        <v>15</v>
      </c>
    </row>
    <row r="9" spans="1:11" ht="31">
      <c r="A9" s="16" t="str">
        <f>Jobs!B9</f>
        <v>Trash &amp; recycling - end of day</v>
      </c>
      <c r="B9" s="17"/>
      <c r="C9" s="17"/>
      <c r="D9" s="17"/>
      <c r="E9" s="17"/>
      <c r="F9" s="17"/>
      <c r="G9" s="17"/>
      <c r="H9" s="16" t="str">
        <f>A9</f>
        <v>Trash &amp; recycling - end of day</v>
      </c>
      <c r="I9" s="1">
        <v>20</v>
      </c>
    </row>
    <row r="10" spans="1:11" ht="31">
      <c r="A10" s="16" t="str">
        <f>Jobs!B10</f>
        <v>Tara Paradise, store - vacuum</v>
      </c>
      <c r="B10" s="19" t="s">
        <v>55</v>
      </c>
      <c r="C10" s="17"/>
      <c r="D10" s="19" t="s">
        <v>55</v>
      </c>
      <c r="E10" s="17"/>
      <c r="F10" s="19" t="s">
        <v>55</v>
      </c>
      <c r="G10" s="17"/>
      <c r="H10" s="16" t="str">
        <f>A10</f>
        <v>Tara Paradise, store - vacuum</v>
      </c>
      <c r="I10" s="1">
        <v>15</v>
      </c>
    </row>
    <row r="11" spans="1:11" ht="31">
      <c r="A11" s="16" t="str">
        <f>Jobs!B11</f>
        <v>JH office, main hallway - vacuum</v>
      </c>
      <c r="B11" s="19" t="s">
        <v>55</v>
      </c>
      <c r="C11" s="17"/>
      <c r="D11" s="19" t="s">
        <v>55</v>
      </c>
      <c r="E11" s="17"/>
      <c r="F11" s="19" t="s">
        <v>55</v>
      </c>
      <c r="G11" s="17"/>
      <c r="H11" s="16" t="str">
        <f>A11</f>
        <v>JH office, main hallway - vacuum</v>
      </c>
      <c r="I11" s="1">
        <v>15</v>
      </c>
    </row>
    <row r="12" spans="1:11" ht="31">
      <c r="A12" s="16" t="str">
        <f>Jobs!B12</f>
        <v>Coatrm, café hallway - vacuum</v>
      </c>
      <c r="B12" s="17"/>
      <c r="C12" s="17"/>
      <c r="D12" s="17"/>
      <c r="E12" s="17"/>
      <c r="F12" s="17"/>
      <c r="G12" s="17"/>
      <c r="H12" s="16" t="str">
        <f>A12</f>
        <v>Coatrm, café hallway - vacuum</v>
      </c>
      <c r="I12" s="1">
        <v>10</v>
      </c>
    </row>
    <row r="13" spans="1:11" ht="31">
      <c r="A13" s="16" t="str">
        <f>Jobs!B13</f>
        <v>Foyer &amp; lobby - vacuum</v>
      </c>
      <c r="B13" s="19" t="s">
        <v>55</v>
      </c>
      <c r="C13" s="19" t="s">
        <v>55</v>
      </c>
      <c r="D13" s="17"/>
      <c r="E13" s="19" t="s">
        <v>55</v>
      </c>
      <c r="F13" s="19" t="s">
        <v>55</v>
      </c>
      <c r="G13" s="17"/>
      <c r="H13" s="16" t="str">
        <f>A13</f>
        <v>Foyer &amp; lobby - vacuum</v>
      </c>
      <c r="I13" s="1">
        <v>20</v>
      </c>
    </row>
    <row r="14" spans="1:11" ht="31">
      <c r="A14" s="16" t="str">
        <f>Jobs!B14</f>
        <v>Front windows - clean</v>
      </c>
      <c r="B14" s="19" t="s">
        <v>55</v>
      </c>
      <c r="C14" s="19" t="s">
        <v>55</v>
      </c>
      <c r="D14" s="17"/>
      <c r="E14" s="19" t="s">
        <v>55</v>
      </c>
      <c r="F14" s="19" t="s">
        <v>55</v>
      </c>
      <c r="G14" s="17"/>
      <c r="H14" s="16" t="str">
        <f>A14</f>
        <v>Front windows - clean</v>
      </c>
      <c r="I14" s="1">
        <v>10</v>
      </c>
    </row>
    <row r="15" spans="1:11" ht="31">
      <c r="A15" s="16" t="str">
        <f>Jobs!B15</f>
        <v>Men's room - clean, stock</v>
      </c>
      <c r="B15" s="17"/>
      <c r="C15" s="17"/>
      <c r="D15" s="17"/>
      <c r="E15" s="17"/>
      <c r="F15" s="17"/>
      <c r="G15" s="17"/>
      <c r="H15" s="16" t="str">
        <f>A15</f>
        <v>Men's room - clean, stock</v>
      </c>
      <c r="I15" s="1">
        <v>10</v>
      </c>
      <c r="K15" s="18"/>
    </row>
    <row r="16" spans="1:11" ht="31">
      <c r="A16" s="16" t="str">
        <f>Jobs!B16</f>
        <v xml:space="preserve"> Urinals - check pads, mop (x2)</v>
      </c>
      <c r="B16" s="17"/>
      <c r="C16" s="17"/>
      <c r="D16" s="17"/>
      <c r="E16" s="17"/>
      <c r="F16" s="17"/>
      <c r="G16" s="17"/>
      <c r="H16" s="16" t="str">
        <f>A16</f>
        <v xml:space="preserve"> Urinals - check pads, mop (x2)</v>
      </c>
      <c r="I16" s="1">
        <v>15</v>
      </c>
    </row>
    <row r="17" spans="1:9" ht="31">
      <c r="A17" s="16" t="str">
        <f>Jobs!B17</f>
        <v>Women's room - clean, stock</v>
      </c>
      <c r="B17" s="17"/>
      <c r="C17" s="17"/>
      <c r="D17" s="17"/>
      <c r="E17" s="17"/>
      <c r="F17" s="17"/>
      <c r="G17" s="17"/>
      <c r="H17" s="16" t="str">
        <f>A17</f>
        <v>Women's room - clean, stock</v>
      </c>
      <c r="I17" s="1">
        <v>10</v>
      </c>
    </row>
    <row r="18" spans="1:9" ht="31">
      <c r="A18" s="16" t="str">
        <f>Jobs!B18</f>
        <v>Unisx, lama bathrms - clean, stock</v>
      </c>
      <c r="B18" s="17"/>
      <c r="C18" s="17"/>
      <c r="D18" s="17"/>
      <c r="E18" s="17"/>
      <c r="F18" s="17"/>
      <c r="G18" s="17"/>
      <c r="H18" s="16" t="str">
        <f>A18</f>
        <v>Unisx, lama bathrms - clean, stock</v>
      </c>
      <c r="I18" s="1">
        <v>10</v>
      </c>
    </row>
  </sheetData>
  <pageMargins left="0.1" right="0.1" top="0.1" bottom="0.1" header="0.1" footer="0.1"/>
  <pageSetup fitToWidth="2" fitToHeight="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02FDD-6F4A-4D0B-BB32-8DE03BD08722}">
  <sheetPr>
    <pageSetUpPr fitToPage="1"/>
  </sheetPr>
  <dimension ref="A1:J18"/>
  <sheetViews>
    <sheetView workbookViewId="0">
      <selection activeCell="J10" sqref="J10"/>
    </sheetView>
  </sheetViews>
  <sheetFormatPr defaultRowHeight="15.5"/>
  <cols>
    <col min="1" max="1" width="39.26953125" style="20" customWidth="1"/>
    <col min="2" max="7" width="24.6328125" style="3" customWidth="1"/>
    <col min="8" max="16384" width="8.7265625" style="3"/>
  </cols>
  <sheetData>
    <row r="1" spans="1:10" s="2" customFormat="1" ht="36">
      <c r="A1" s="21" t="s">
        <v>0</v>
      </c>
      <c r="B1" s="4" t="s">
        <v>74</v>
      </c>
      <c r="C1" s="4" t="s">
        <v>73</v>
      </c>
      <c r="D1" s="4" t="s">
        <v>72</v>
      </c>
      <c r="E1" s="4" t="s">
        <v>71</v>
      </c>
      <c r="F1" s="4" t="s">
        <v>70</v>
      </c>
      <c r="G1" s="4" t="s">
        <v>69</v>
      </c>
      <c r="H1" s="3"/>
      <c r="I1" s="3"/>
      <c r="J1" s="3"/>
    </row>
    <row r="2" spans="1:10" s="2" customFormat="1" ht="16" customHeight="1">
      <c r="A2" s="22" t="s">
        <v>68</v>
      </c>
      <c r="B2" s="17"/>
      <c r="C2" s="17"/>
      <c r="D2" s="17"/>
      <c r="E2" s="17"/>
      <c r="F2" s="17"/>
      <c r="G2" s="17"/>
      <c r="H2" s="3"/>
      <c r="I2" s="3"/>
      <c r="J2" s="3"/>
    </row>
    <row r="3" spans="1:10" s="2" customFormat="1" ht="16" customHeight="1">
      <c r="A3" s="22" t="s">
        <v>67</v>
      </c>
      <c r="B3" s="17"/>
      <c r="C3" s="17"/>
      <c r="D3" s="17"/>
      <c r="E3" s="17"/>
      <c r="F3" s="17"/>
      <c r="G3" s="17"/>
      <c r="H3" s="3"/>
      <c r="I3" s="3"/>
      <c r="J3" s="3"/>
    </row>
    <row r="4" spans="1:10" s="2" customFormat="1" ht="16" customHeight="1">
      <c r="A4" s="22" t="s">
        <v>66</v>
      </c>
      <c r="B4" s="17"/>
      <c r="C4" s="17"/>
      <c r="D4" s="17"/>
      <c r="E4" s="17"/>
      <c r="F4" s="17"/>
      <c r="G4" s="17"/>
      <c r="H4" s="3"/>
      <c r="I4" s="3"/>
      <c r="J4" s="3"/>
    </row>
    <row r="5" spans="1:10" s="2" customFormat="1" ht="16" customHeight="1">
      <c r="A5" s="22" t="s">
        <v>65</v>
      </c>
      <c r="B5" s="17"/>
      <c r="C5" s="17"/>
      <c r="D5" s="17"/>
      <c r="E5" s="17"/>
      <c r="F5" s="17"/>
      <c r="G5" s="17"/>
      <c r="H5" s="3"/>
      <c r="I5" s="3"/>
      <c r="J5" s="3"/>
    </row>
    <row r="6" spans="1:10" s="2" customFormat="1" ht="16" customHeight="1">
      <c r="A6" s="22" t="s">
        <v>64</v>
      </c>
      <c r="B6" s="17"/>
      <c r="C6" s="17"/>
      <c r="D6" s="17"/>
      <c r="E6" s="17"/>
      <c r="F6" s="17"/>
      <c r="G6" s="17"/>
      <c r="H6" s="3"/>
      <c r="I6" s="3"/>
      <c r="J6" s="3"/>
    </row>
    <row r="7" spans="1:10" s="2" customFormat="1" ht="16" customHeight="1">
      <c r="A7" s="22" t="s">
        <v>63</v>
      </c>
      <c r="B7" s="17"/>
      <c r="C7" s="17"/>
      <c r="D7" s="17"/>
      <c r="E7" s="17"/>
      <c r="F7" s="17"/>
      <c r="G7" s="17"/>
      <c r="H7" s="3"/>
      <c r="I7" s="3"/>
      <c r="J7" s="3"/>
    </row>
    <row r="8" spans="1:10" s="2" customFormat="1" ht="16" customHeight="1">
      <c r="A8" s="22" t="s">
        <v>62</v>
      </c>
      <c r="B8" s="19" t="s">
        <v>55</v>
      </c>
      <c r="C8" s="19" t="s">
        <v>55</v>
      </c>
      <c r="D8" s="17"/>
      <c r="E8" s="19" t="s">
        <v>2</v>
      </c>
      <c r="F8" s="19" t="s">
        <v>55</v>
      </c>
      <c r="G8" s="17"/>
      <c r="H8" s="3"/>
      <c r="I8" s="3"/>
      <c r="J8" s="3"/>
    </row>
    <row r="9" spans="1:10" s="2" customFormat="1" ht="16" customHeight="1">
      <c r="A9" s="22" t="s">
        <v>61</v>
      </c>
      <c r="B9" s="17"/>
      <c r="C9" s="17"/>
      <c r="D9" s="17"/>
      <c r="E9" s="17"/>
      <c r="F9" s="17"/>
      <c r="G9" s="17"/>
      <c r="H9" s="3"/>
      <c r="I9" s="3"/>
      <c r="J9" s="3"/>
    </row>
    <row r="10" spans="1:10" s="2" customFormat="1" ht="16" customHeight="1">
      <c r="A10" s="22" t="s">
        <v>60</v>
      </c>
      <c r="B10" s="19" t="s">
        <v>55</v>
      </c>
      <c r="C10" s="17"/>
      <c r="D10" s="19" t="s">
        <v>55</v>
      </c>
      <c r="E10" s="17"/>
      <c r="F10" s="19" t="s">
        <v>55</v>
      </c>
      <c r="G10" s="17"/>
      <c r="H10" s="3"/>
      <c r="I10" s="3"/>
      <c r="J10" s="3"/>
    </row>
    <row r="11" spans="1:10" s="2" customFormat="1" ht="16" customHeight="1">
      <c r="A11" s="22" t="s">
        <v>59</v>
      </c>
      <c r="B11" s="19" t="s">
        <v>55</v>
      </c>
      <c r="C11" s="17"/>
      <c r="D11" s="19" t="s">
        <v>55</v>
      </c>
      <c r="E11" s="17"/>
      <c r="F11" s="19" t="s">
        <v>55</v>
      </c>
      <c r="G11" s="17"/>
      <c r="H11" s="3"/>
      <c r="I11" s="3"/>
      <c r="J11" s="3"/>
    </row>
    <row r="12" spans="1:10" s="2" customFormat="1" ht="16" customHeight="1">
      <c r="A12" s="22" t="s">
        <v>58</v>
      </c>
      <c r="B12" s="17"/>
      <c r="C12" s="17"/>
      <c r="D12" s="17"/>
      <c r="E12" s="17"/>
      <c r="F12" s="17"/>
      <c r="G12" s="17"/>
      <c r="H12" s="3"/>
      <c r="I12" s="3"/>
      <c r="J12" s="3"/>
    </row>
    <row r="13" spans="1:10" s="2" customFormat="1" ht="16" customHeight="1">
      <c r="A13" s="22" t="s">
        <v>57</v>
      </c>
      <c r="B13" s="19" t="s">
        <v>55</v>
      </c>
      <c r="C13" s="19" t="s">
        <v>55</v>
      </c>
      <c r="D13" s="17"/>
      <c r="E13" s="19" t="s">
        <v>55</v>
      </c>
      <c r="F13" s="19" t="s">
        <v>55</v>
      </c>
      <c r="G13" s="17"/>
      <c r="H13" s="3"/>
      <c r="I13" s="3"/>
      <c r="J13" s="3"/>
    </row>
    <row r="14" spans="1:10" s="2" customFormat="1" ht="16" customHeight="1">
      <c r="A14" s="22" t="s">
        <v>56</v>
      </c>
      <c r="B14" s="19" t="s">
        <v>55</v>
      </c>
      <c r="C14" s="19" t="s">
        <v>55</v>
      </c>
      <c r="D14" s="17"/>
      <c r="E14" s="19" t="s">
        <v>55</v>
      </c>
      <c r="F14" s="19" t="s">
        <v>55</v>
      </c>
      <c r="G14" s="17"/>
      <c r="H14" s="3"/>
      <c r="I14" s="3"/>
      <c r="J14" s="3"/>
    </row>
    <row r="15" spans="1:10" s="2" customFormat="1" ht="16" customHeight="1">
      <c r="A15" s="22" t="s">
        <v>54</v>
      </c>
      <c r="B15" s="17"/>
      <c r="C15" s="17"/>
      <c r="D15" s="17"/>
      <c r="E15" s="17"/>
      <c r="F15" s="17"/>
      <c r="G15" s="17"/>
      <c r="H15" s="3"/>
      <c r="I15" s="3"/>
      <c r="J15" s="3"/>
    </row>
    <row r="16" spans="1:10" s="2" customFormat="1" ht="16" customHeight="1">
      <c r="A16" s="22" t="s">
        <v>53</v>
      </c>
      <c r="B16" s="17"/>
      <c r="C16" s="17"/>
      <c r="D16" s="17"/>
      <c r="E16" s="17"/>
      <c r="F16" s="17"/>
      <c r="G16" s="17"/>
      <c r="H16" s="3"/>
      <c r="I16" s="3"/>
      <c r="J16" s="3"/>
    </row>
    <row r="17" spans="1:8" s="2" customFormat="1" ht="16" customHeight="1">
      <c r="A17" s="22" t="s">
        <v>52</v>
      </c>
      <c r="B17" s="17"/>
      <c r="C17" s="17"/>
      <c r="D17" s="17"/>
      <c r="E17" s="17"/>
      <c r="F17" s="17"/>
      <c r="G17" s="17"/>
      <c r="H17" s="3"/>
    </row>
    <row r="18" spans="1:8" s="2" customFormat="1" ht="16" customHeight="1">
      <c r="A18" s="22" t="s">
        <v>51</v>
      </c>
      <c r="B18" s="17"/>
      <c r="C18" s="17"/>
      <c r="D18" s="17"/>
      <c r="E18" s="17"/>
      <c r="F18" s="17"/>
      <c r="G18" s="17"/>
      <c r="H18" s="3"/>
    </row>
  </sheetData>
  <pageMargins left="0.1" right="0.1" top="0.1" bottom="0.1" header="0.1" footer="0.1"/>
  <pageSetup fitToWidth="2" fitToHeight="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AD9D2-5874-44CD-9662-76B929B1C53D}">
  <dimension ref="A1:F20"/>
  <sheetViews>
    <sheetView tabSelected="1" workbookViewId="0">
      <selection activeCell="C10" sqref="C10"/>
    </sheetView>
  </sheetViews>
  <sheetFormatPr defaultRowHeight="14.5"/>
  <cols>
    <col min="1" max="1" width="12.26953125" style="26" customWidth="1"/>
    <col min="2" max="2" width="16.453125" style="26" customWidth="1"/>
    <col min="3" max="3" width="34.36328125" style="26" customWidth="1"/>
    <col min="4" max="4" width="29.54296875" style="26" customWidth="1"/>
    <col min="5" max="6" width="8.7265625" style="26"/>
  </cols>
  <sheetData>
    <row r="1" spans="1:6" s="23" customFormat="1">
      <c r="A1" s="24" t="s">
        <v>75</v>
      </c>
      <c r="B1" s="24" t="s">
        <v>76</v>
      </c>
      <c r="C1" s="24" t="s">
        <v>77</v>
      </c>
      <c r="D1" s="24" t="s">
        <v>80</v>
      </c>
      <c r="E1" s="24" t="s">
        <v>78</v>
      </c>
      <c r="F1" s="24" t="s">
        <v>79</v>
      </c>
    </row>
    <row r="2" spans="1:6">
      <c r="A2" s="25" t="s">
        <v>81</v>
      </c>
      <c r="B2" s="25" t="s">
        <v>82</v>
      </c>
      <c r="C2" s="27" t="s">
        <v>83</v>
      </c>
      <c r="D2" s="25" t="s">
        <v>84</v>
      </c>
      <c r="E2" s="25" t="s">
        <v>85</v>
      </c>
      <c r="F2" s="25" t="s">
        <v>85</v>
      </c>
    </row>
    <row r="3" spans="1:6">
      <c r="A3" s="25" t="s">
        <v>86</v>
      </c>
      <c r="B3" s="25" t="s">
        <v>87</v>
      </c>
      <c r="C3" s="27" t="s">
        <v>90</v>
      </c>
      <c r="D3" s="25" t="s">
        <v>91</v>
      </c>
      <c r="E3" s="25" t="s">
        <v>85</v>
      </c>
      <c r="F3" s="25" t="s">
        <v>85</v>
      </c>
    </row>
    <row r="4" spans="1:6">
      <c r="A4" s="25" t="s">
        <v>88</v>
      </c>
      <c r="B4" s="25" t="s">
        <v>89</v>
      </c>
      <c r="C4" s="27" t="s">
        <v>93</v>
      </c>
      <c r="D4" s="25" t="s">
        <v>92</v>
      </c>
      <c r="E4" s="25" t="s">
        <v>85</v>
      </c>
      <c r="F4" s="25" t="s">
        <v>85</v>
      </c>
    </row>
    <row r="5" spans="1:6">
      <c r="A5" s="25"/>
      <c r="B5" s="25"/>
      <c r="C5" s="25"/>
      <c r="D5" s="25"/>
      <c r="E5" s="25"/>
      <c r="F5" s="25"/>
    </row>
    <row r="6" spans="1:6">
      <c r="A6" s="25"/>
      <c r="B6" s="25"/>
      <c r="C6" s="25"/>
      <c r="D6" s="25"/>
      <c r="E6" s="25"/>
      <c r="F6" s="25"/>
    </row>
    <row r="7" spans="1:6">
      <c r="A7" s="25"/>
      <c r="B7" s="25"/>
      <c r="C7" s="25"/>
      <c r="D7" s="25"/>
      <c r="E7" s="25"/>
      <c r="F7" s="25"/>
    </row>
    <row r="8" spans="1:6">
      <c r="A8" s="25"/>
      <c r="B8" s="25"/>
      <c r="C8" s="25"/>
      <c r="D8" s="25"/>
      <c r="E8" s="25"/>
      <c r="F8" s="25"/>
    </row>
    <row r="9" spans="1:6">
      <c r="A9" s="25"/>
      <c r="B9" s="25"/>
      <c r="C9" s="25"/>
      <c r="D9" s="25"/>
      <c r="E9" s="25"/>
      <c r="F9" s="25"/>
    </row>
    <row r="10" spans="1:6">
      <c r="A10" s="25"/>
      <c r="B10" s="25"/>
      <c r="C10" s="25"/>
      <c r="D10" s="25"/>
      <c r="E10" s="25"/>
      <c r="F10" s="25"/>
    </row>
    <row r="11" spans="1:6">
      <c r="A11" s="25"/>
      <c r="B11" s="25"/>
      <c r="C11" s="25"/>
      <c r="D11" s="25"/>
      <c r="E11" s="25"/>
      <c r="F11" s="25"/>
    </row>
    <row r="12" spans="1:6">
      <c r="A12" s="25"/>
      <c r="B12" s="25"/>
      <c r="C12" s="25"/>
      <c r="D12" s="25"/>
      <c r="E12" s="25"/>
      <c r="F12" s="25"/>
    </row>
    <row r="13" spans="1:6">
      <c r="A13" s="25"/>
      <c r="B13" s="25"/>
      <c r="C13" s="25"/>
      <c r="D13" s="25"/>
      <c r="E13" s="25"/>
      <c r="F13" s="25"/>
    </row>
    <row r="14" spans="1:6">
      <c r="A14" s="25"/>
      <c r="B14" s="25"/>
      <c r="C14" s="25"/>
      <c r="D14" s="25"/>
      <c r="E14" s="25"/>
      <c r="F14" s="25"/>
    </row>
    <row r="15" spans="1:6">
      <c r="A15" s="25"/>
      <c r="B15" s="25"/>
      <c r="C15" s="25"/>
      <c r="D15" s="25"/>
      <c r="E15" s="25"/>
      <c r="F15" s="25"/>
    </row>
    <row r="16" spans="1:6">
      <c r="A16" s="25"/>
      <c r="B16" s="25"/>
      <c r="C16" s="25"/>
      <c r="D16" s="25"/>
      <c r="E16" s="25"/>
      <c r="F16" s="25"/>
    </row>
    <row r="17" spans="1:6">
      <c r="A17" s="25"/>
      <c r="B17" s="25"/>
      <c r="C17" s="25"/>
      <c r="D17" s="25"/>
      <c r="E17" s="25"/>
      <c r="F17" s="25"/>
    </row>
    <row r="18" spans="1:6">
      <c r="A18" s="25"/>
      <c r="B18" s="25"/>
      <c r="C18" s="25"/>
      <c r="D18" s="25"/>
      <c r="E18" s="25"/>
      <c r="F18" s="25"/>
    </row>
    <row r="19" spans="1:6">
      <c r="A19" s="25"/>
      <c r="B19" s="25"/>
      <c r="C19" s="25"/>
      <c r="D19" s="25"/>
      <c r="E19" s="25"/>
      <c r="F19" s="25"/>
    </row>
    <row r="20" spans="1:6">
      <c r="A20" s="25"/>
      <c r="B20" s="25"/>
      <c r="C20" s="25"/>
      <c r="D20" s="25"/>
      <c r="E20" s="25"/>
      <c r="F20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Jobs</vt:lpstr>
      <vt:lpstr>Poster</vt:lpstr>
      <vt:lpstr>Compact</vt:lpstr>
      <vt:lpstr>Roster</vt:lpstr>
      <vt:lpstr>Compact!Print_Area</vt:lpstr>
      <vt:lpstr>Jobs!Print_Area</vt:lpstr>
      <vt:lpstr>Poster!Print_Area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Lewis</cp:lastModifiedBy>
  <cp:lastPrinted>2026-07-17T11:42:26Z</cp:lastPrinted>
  <dcterms:created xsi:type="dcterms:W3CDTF">2026-05-22T22:26:56Z</dcterms:created>
  <dcterms:modified xsi:type="dcterms:W3CDTF">2026-07-18T18:50:40Z</dcterms:modified>
</cp:coreProperties>
</file>