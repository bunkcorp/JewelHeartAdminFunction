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6"/>
  <workbookPr/>
  <mc:AlternateContent xmlns:mc="http://schemas.openxmlformats.org/markup-compatibility/2006">
    <mc:Choice Requires="x15">
      <x15ac:absPath xmlns:x15ac="http://schemas.microsoft.com/office/spreadsheetml/2010/11/ac" url="C:\Data\dev\RetreatVolunteer\Redesign\"/>
    </mc:Choice>
  </mc:AlternateContent>
  <xr:revisionPtr revIDLastSave="0" documentId="13_ncr:1_{29739976-C77A-4180-A138-BED1393F75AC}" xr6:coauthVersionLast="47" xr6:coauthVersionMax="47" xr10:uidLastSave="{00000000-0000-0000-0000-000000000000}"/>
  <bookViews>
    <workbookView xWindow="8000" yWindow="3150" windowWidth="27940" windowHeight="16840" activeTab="3" xr2:uid="{00000000-000D-0000-FFFF-FFFF00000000}"/>
  </bookViews>
  <sheets>
    <sheet name="Data" sheetId="1" r:id="rId1"/>
    <sheet name="Merit board" sheetId="2" r:id="rId2"/>
    <sheet name="Merit board 2" sheetId="3" r:id="rId3"/>
    <sheet name="Master" sheetId="7" r:id="rId4"/>
    <sheet name="Metrics" sheetId="4" r:id="rId5"/>
    <sheet name="Instructions" sheetId="5" r:id="rId6"/>
    <sheet name="Notes" sheetId="6" r:id="rId7"/>
  </sheets>
  <definedNames>
    <definedName name="_xlnm.Print_Area" localSheetId="3">Master!$A$1:$I$18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7" l="1"/>
  <c r="M4" i="7"/>
  <c r="M5" i="7"/>
  <c r="M2" i="7"/>
  <c r="M6" i="7"/>
  <c r="M7" i="7"/>
  <c r="M8" i="7"/>
  <c r="M9" i="7"/>
  <c r="M10" i="7"/>
  <c r="M12" i="7"/>
  <c r="M13" i="7"/>
  <c r="M14" i="7"/>
  <c r="M15" i="7"/>
  <c r="M16" i="7"/>
  <c r="M11" i="7"/>
  <c r="M17" i="7"/>
  <c r="M18" i="7"/>
  <c r="L3" i="7"/>
  <c r="L4" i="7"/>
  <c r="L5" i="7"/>
  <c r="L6" i="7"/>
  <c r="L7" i="7"/>
  <c r="L8" i="7"/>
  <c r="L9" i="7"/>
  <c r="L10" i="7"/>
  <c r="L12" i="7"/>
  <c r="L13" i="7"/>
  <c r="L14" i="7"/>
  <c r="L15" i="7"/>
  <c r="L16" i="7"/>
  <c r="L11" i="7"/>
  <c r="L17" i="7"/>
  <c r="L18" i="7"/>
  <c r="L2" i="7"/>
  <c r="H10" i="7"/>
  <c r="H3" i="7"/>
  <c r="H4" i="7"/>
  <c r="H5" i="7"/>
  <c r="H6" i="7"/>
  <c r="H7" i="7"/>
  <c r="H8" i="7"/>
  <c r="H9" i="7"/>
  <c r="H12" i="7"/>
  <c r="H13" i="7"/>
  <c r="H14" i="7"/>
  <c r="H15" i="7"/>
  <c r="H16" i="7"/>
  <c r="H11" i="7"/>
  <c r="H17" i="7"/>
  <c r="H18" i="7"/>
  <c r="H2" i="7"/>
  <c r="D11" i="4"/>
  <c r="C11" i="4"/>
  <c r="E11" i="4" s="1"/>
</calcChain>
</file>

<file path=xl/sharedStrings.xml><?xml version="1.0" encoding="utf-8"?>
<sst xmlns="http://schemas.openxmlformats.org/spreadsheetml/2006/main" count="205" uniqueCount="205">
  <si>
    <t>Volunteer Schedule — Retreat July 20-26, 2026 (v7)</t>
  </si>
  <si>
    <t>Day 7 (Sun Jul 26): special-event day — no volunteer tasks scheduled. All task-instances expanded; no elision.</t>
  </si>
  <si>
    <t>Day #</t>
  </si>
  <si>
    <t>Weekday</t>
  </si>
  <si>
    <t>Slot</t>
  </si>
  <si>
    <t>Site</t>
  </si>
  <si>
    <t>Activity</t>
  </si>
  <si>
    <t># volunteers</t>
  </si>
  <si>
    <t>Time est. (min)</t>
  </si>
  <si>
    <t>Mon</t>
  </si>
  <si>
    <t>Start day</t>
  </si>
  <si>
    <t>Coffee &amp; snacks</t>
  </si>
  <si>
    <t>Morning setup</t>
  </si>
  <si>
    <t>Lunch break</t>
  </si>
  <si>
    <t>Café</t>
  </si>
  <si>
    <t>Light cleanup</t>
  </si>
  <si>
    <t>Kitchen</t>
  </si>
  <si>
    <t>End day</t>
  </si>
  <si>
    <t>Full cleanup</t>
  </si>
  <si>
    <t>Evening breakdown</t>
  </si>
  <si>
    <t>Any time</t>
  </si>
  <si>
    <t>Coatroom, café hallway, main hall rear</t>
  </si>
  <si>
    <t>Vacuum</t>
  </si>
  <si>
    <t>Men's room</t>
  </si>
  <si>
    <t>Clean &amp; stock</t>
  </si>
  <si>
    <t>Urinals</t>
  </si>
  <si>
    <t>Check pads &amp; mop</t>
  </si>
  <si>
    <t>Women's room</t>
  </si>
  <si>
    <t>Unisex &amp; Lama bathrooms</t>
  </si>
  <si>
    <t>Tue</t>
  </si>
  <si>
    <t>At home</t>
  </si>
  <si>
    <t>Launder towels &amp; mop pads</t>
  </si>
  <si>
    <t>Tara Paradise, store, store hallway</t>
  </si>
  <si>
    <t>JH office, main hallway</t>
  </si>
  <si>
    <t>Lama offices</t>
  </si>
  <si>
    <t>Clean</t>
  </si>
  <si>
    <t>Wed</t>
  </si>
  <si>
    <t>Foyer &amp; lobby</t>
  </si>
  <si>
    <t>Front windows</t>
  </si>
  <si>
    <t>Thu</t>
  </si>
  <si>
    <t>Fri</t>
  </si>
  <si>
    <t>Sat</t>
  </si>
  <si>
    <t>Merit Board — task assignments by day</t>
  </si>
  <si>
    <t>Cells where a job IS scheduled are blank (and ready for the volunteer's name). Cells where the job is NOT scheduled show a horizontal-stripe pattern with white 'XXX'.</t>
  </si>
  <si>
    <t xml:space="preserve">Site
Activity</t>
  </si>
  <si>
    <t xml:space="preserve">Time
est.</t>
  </si>
  <si>
    <t xml:space="preserve">Day 1
Mon</t>
  </si>
  <si>
    <t xml:space="preserve">Day 2
Tue</t>
  </si>
  <si>
    <t xml:space="preserve">Day 3
Wed</t>
  </si>
  <si>
    <t xml:space="preserve">Day 4
Thu</t>
  </si>
  <si>
    <t xml:space="preserve">Day 5
Fri</t>
  </si>
  <si>
    <t xml:space="preserve">Day 6
Sat</t>
  </si>
  <si>
    <t xml:space="preserve">Café
Light cleanup</t>
  </si>
  <si>
    <t>10m</t>
  </si>
  <si>
    <t xml:space="preserve">Café
Full cleanup</t>
  </si>
  <si>
    <t>20m</t>
  </si>
  <si>
    <t xml:space="preserve">Kitchen
Light cleanup</t>
  </si>
  <si>
    <t xml:space="preserve">Kitchen
Full cleanup</t>
  </si>
  <si>
    <t xml:space="preserve">Coffee &amp; snacks
Morning setup</t>
  </si>
  <si>
    <t>15m</t>
  </si>
  <si>
    <t xml:space="preserve">Coffee &amp; snacks
Evening breakdown</t>
  </si>
  <si>
    <t xml:space="preserve">Tara Paradise, store, store hallway
Vacuum</t>
  </si>
  <si>
    <t>XXX</t>
  </si>
  <si>
    <t xml:space="preserve">JH office, main hallway
Vacuum</t>
  </si>
  <si>
    <t xml:space="preserve">Coatroom, café hallway, main hall rear
Vacuum</t>
  </si>
  <si>
    <t xml:space="preserve">Lama offices
Clean</t>
  </si>
  <si>
    <t xml:space="preserve">Men's room
Clean &amp; stock</t>
  </si>
  <si>
    <t xml:space="preserve">Urinals
Check pads &amp; mop</t>
  </si>
  <si>
    <t xml:space="preserve">Women's room
Clean &amp; stock</t>
  </si>
  <si>
    <t xml:space="preserve">Unisex &amp; Lama bathrooms
Clean &amp; stock</t>
  </si>
  <si>
    <t xml:space="preserve">Foyer &amp; lobby
Vacuum</t>
  </si>
  <si>
    <t xml:space="preserve">Front windows
Clean</t>
  </si>
  <si>
    <t xml:space="preserve">At home
Launder towels &amp; mop pads</t>
  </si>
  <si>
    <t>Merit Board 2 — slot embedded in day cells (experimental)</t>
  </si>
  <si>
    <t>Each scheduled day cell shows the slot at the top (or blank for 'any time'); the volunteer name goes below it. All data cells are top-aligned. Striped 'XXX' cells indicate the job is NOT scheduled that day.</t>
  </si>
  <si>
    <t>Metrics</t>
  </si>
  <si>
    <t>All jobs are 1 volunteer in v7. 'Distinct volunteers needed' assumes no double-duty (one distinct volunteer per job per day).</t>
  </si>
  <si>
    <t>Day</t>
  </si>
  <si>
    <t>Total volunteer-minutes</t>
  </si>
  <si>
    <t>Distinct volunteers needed (no double duty)</t>
  </si>
  <si>
    <t>Avg min / distinct volunteer</t>
  </si>
  <si>
    <t>TOTAL</t>
  </si>
  <si>
    <t>Days 1-6</t>
  </si>
  <si>
    <t>Job Instructions</t>
  </si>
  <si>
    <t>Job header (site — activity) in column A; instructions in column B in subsequent rows. Use the +/- icons in the row gutter to collapse / expand each job. Outline groups transfer to Google Sheets when the .xlsx is opened there.</t>
  </si>
  <si>
    <t>Job</t>
  </si>
  <si>
    <t>Instructions</t>
  </si>
  <si>
    <t>Café — Light cleanup  (10m, every day, @ lunch break)</t>
  </si>
  <si>
    <t>Wipe tables</t>
  </si>
  <si>
    <t>Clean serving table</t>
  </si>
  <si>
    <t>Café — Full cleanup  (20m, every day, @ end day)</t>
  </si>
  <si>
    <t>Clear, clean serving table</t>
  </si>
  <si>
    <t>Chairs up</t>
  </si>
  <si>
    <t>Mop</t>
  </si>
  <si>
    <t>Chairs down (or leave for morning?)</t>
  </si>
  <si>
    <t>Wash dishes in kitchen</t>
  </si>
  <si>
    <t>Kitchen — Light cleanup  (10m, every day, @ lunch break)</t>
  </si>
  <si>
    <t>Wipe, tidy big table</t>
  </si>
  <si>
    <t>Wash dishes</t>
  </si>
  <si>
    <t>Kitchen — Full cleanup  (20m, every day, @ end day)</t>
  </si>
  <si>
    <t>Clear, wipe big table</t>
  </si>
  <si>
    <t>Stools up</t>
  </si>
  <si>
    <t>Stools down</t>
  </si>
  <si>
    <t>Store dry dishes</t>
  </si>
  <si>
    <t>Collect garbage, take out</t>
  </si>
  <si>
    <t>Coffee &amp; snacks — Morning setup  (15m, every day, @ start day)</t>
  </si>
  <si>
    <t>Buy snacks?</t>
  </si>
  <si>
    <t>Set up tea, coffee, snacks</t>
  </si>
  <si>
    <t>Chairs down (if not done previous night)</t>
  </si>
  <si>
    <t>Replenish &amp; tidy through end of lunch</t>
  </si>
  <si>
    <t>Coffee &amp; snacks — Evening breakdown  (15m, every day, @ end day)</t>
  </si>
  <si>
    <t>Replenish &amp; tidy coffee area after lunch</t>
  </si>
  <si>
    <t>End of day breakdown and cleanup:</t>
  </si>
  <si>
    <t>Put away snacks</t>
  </si>
  <si>
    <t>Wash coffee, tea pots</t>
  </si>
  <si>
    <t>Wash other kitchen dishes as necessary</t>
  </si>
  <si>
    <t>Tara Paradise, store, store hallway — Vacuum  (15m, days 2, 4, 6, @ any time)</t>
  </si>
  <si>
    <t>Vacuum floors</t>
  </si>
  <si>
    <t>Vacuum sofas as needed</t>
  </si>
  <si>
    <t>JH office, main hallway — Vacuum  (15m, days 2, 4, 6, @ any time)</t>
  </si>
  <si>
    <t>Coatroom, café hallway, main hall rear — Vacuum  (10m, every day, @ any time)</t>
  </si>
  <si>
    <t>Shake out mats as needed</t>
  </si>
  <si>
    <t>Lama offices — Clean  (10m, days 2, 4, 6, @ any time)</t>
  </si>
  <si>
    <t>Dust surfaces</t>
  </si>
  <si>
    <t>Tidy desks</t>
  </si>
  <si>
    <t>Men's room — Clean &amp; stock  (10m, every day, @ any time)</t>
  </si>
  <si>
    <t>Clean sink</t>
  </si>
  <si>
    <t>Wipe counter</t>
  </si>
  <si>
    <t>Wipe fixtures</t>
  </si>
  <si>
    <t>Clean toilet</t>
  </si>
  <si>
    <t>Replenish deployed supplies</t>
  </si>
  <si>
    <t>Replenish backup stock of supplies as needed</t>
  </si>
  <si>
    <t>Empty trash, replace bag</t>
  </si>
  <si>
    <t>Urinals — Check pads &amp; mop  (15m, every day, @ any time)</t>
  </si>
  <si>
    <t>Mop as needed</t>
  </si>
  <si>
    <t>Clean urinals</t>
  </si>
  <si>
    <t>Moisten mop pads *slightly* as needed</t>
  </si>
  <si>
    <t>Replace mop pads as needed</t>
  </si>
  <si>
    <t>Women's room — Clean &amp; stock  (10m, every day, @ any time)</t>
  </si>
  <si>
    <t>Unisex &amp; Lama bathrooms — Clean &amp; stock  (10m, every day, @ any time)</t>
  </si>
  <si>
    <t>Foyer &amp; lobby — Vacuum  (15m, days 3, 6, @ any time)</t>
  </si>
  <si>
    <t>(instructions to be added)</t>
  </si>
  <si>
    <t>Front windows — Clean  (10m, days 3, 6, @ any time)</t>
  </si>
  <si>
    <t>At home — Launder towels &amp; mop pads  (15m, days 2, 4, 6, @ end day)</t>
  </si>
  <si>
    <t>Pick up dirty towels in kitchen</t>
  </si>
  <si>
    <t>Pick up dirty mop pads in closet</t>
  </si>
  <si>
    <t>Launder at home</t>
  </si>
  <si>
    <t>Return next morning</t>
  </si>
  <si>
    <t>Notes, interpretations, and questions</t>
  </si>
  <si>
    <t>Retreat dates</t>
  </si>
  <si>
    <t>July 20-26, 2026. Days 1-6 (Mon-Sat) are scheduled. Day 7 (Sun Jul 26) is the special-event day with retreatants and additional visitors — no volunteer tasks scheduled.</t>
  </si>
  <si>
    <t>Terminology</t>
  </si>
  <si>
    <t>v7 settles on: Slot, Site, Activity, Job (= Site – Activity). 'Activity' replaces 'Task' in the Data tab column header and everywhere else.</t>
  </si>
  <si>
    <t>Slot 'Any time'</t>
  </si>
  <si>
    <t>v7 keeps 'any time' as the pseudo-slot label. All slot names render on a single line throughout the workbook ('Lunch break', not 'Lunch\nbreak').</t>
  </si>
  <si>
    <t>Block pattern for unscheduled cells</t>
  </si>
  <si>
    <t>Horizontal stripe pattern (medium gray on white) with 'XXX' centered, white font, 20pt (double body size of 10pt). Clearly blocks the cell out without overwhelming the rest of the row.</t>
  </si>
  <si>
    <t>All borders everywhere</t>
  </si>
  <si>
    <t>Every cell on every tab has all four borders. Empty rows in the data tables and in the Instructions sheet outline groups also have borders.</t>
  </si>
  <si>
    <t>Merit board: rows grouped by site by order only</t>
  </si>
  <si>
    <t>Per v7, sites are grouped by row order (Café's two rows adjacent, Kitchen's two rows adjacent, etc.) without any visual highlighting between groups. (v6 used alternating fill between site groups; that was removed in v7 per the spec.)</t>
  </si>
  <si>
    <t>Coffee &amp; snacks throughout-the-day work</t>
  </si>
  <si>
    <t>v7 explicitly mentions the tidy/replenish duty in both the morning-setup and evening-breakdown instruction lists ('Replenish &amp; tidy through end of lunch' in the morning setup; 'Replenish &amp; tidy coffee area after lunch' in the evening breakdown). Same volunteer handles both ends and the in-between tidying.</t>
  </si>
  <si>
    <t>Bathroom instructions</t>
  </si>
  <si>
    <t>Men's room and Women's room share the same instruction list (Women's was specified as 'same as men's room'). Unisex &amp; Lama bathrooms have an explicit but slightly shorter list (no 'replenish backup stock' line) per the v7 prompt.</t>
  </si>
  <si>
    <t>'XXX' size</t>
  </si>
  <si>
    <t>20pt — twice the body size of 10pt — per the v7 instruction. Row heights in the Merit boards are set to 36 (Merit board) and 42 (Merit board 2) to accommodate this comfortably.</t>
  </si>
  <si>
    <t>Outline transfer to Google Sheets</t>
  </si>
  <si>
    <t>Excel row outline groups carry over when an .xlsx is uploaded to or opened in Google Sheets. The 'summary above' setting (task header stays visible when group is collapsed) also transfers.</t>
  </si>
  <si>
    <t>Web-preview multi-line cell rendering</t>
  </si>
  <si>
    <t>Cells whose value contains newline characters (like the 'Site\nActivity' row-header cells in the Merit boards) render correctly in Excel and Google Sheets — wrap-text is on and the newline shows. If a web preview tool flattens the line break, that's a preview rendering bug, not a problem with the file.</t>
  </si>
  <si>
    <t xml:space="preserve">Est
Min</t>
  </si>
  <si>
    <t xml:space="preserve">Coffee &amp; snacks
Evening brkdwn</t>
  </si>
  <si>
    <t xml:space="preserve">Coatrm, café hallwy
Vacuum</t>
  </si>
  <si>
    <t>XXXXX</t>
  </si>
  <si>
    <t>len</t>
  </si>
  <si>
    <t>Unisx, Lama bathrooms</t>
  </si>
  <si>
    <t xml:space="preserve">Towels, mop pads
launder at home</t>
  </si>
  <si>
    <t xml:space="preserve">Towels, mop pads
launder</t>
  </si>
  <si>
    <t xml:space="preserve">JH office, hallway
Vacuum</t>
  </si>
  <si>
    <t xml:space="preserve">Foyer,lobby
Vacuum</t>
  </si>
  <si>
    <t xml:space="preserve">Women's room
Clean, stock</t>
  </si>
  <si>
    <t xml:space="preserve">Urinals
Check pads, mop</t>
  </si>
  <si>
    <t xml:space="preserve">Coatrm, café,
Vacuum</t>
  </si>
  <si>
    <t xml:space="preserve">Coffee, snacks
Eve brkdwn</t>
  </si>
  <si>
    <t>Job abbrev</t>
  </si>
  <si>
    <t xml:space="preserve">Tara Paradse, store,
Vacuum</t>
  </si>
  <si>
    <t>Café, end of day, clean</t>
  </si>
  <si>
    <t>Café, lunch, light clean</t>
  </si>
  <si>
    <t>Ktchn, lunch, light clean</t>
  </si>
  <si>
    <t>Ktchn, end of day, clean</t>
  </si>
  <si>
    <t xml:space="preserve">Coffee, snacks
Morning setup</t>
  </si>
  <si>
    <t>abbrev len</t>
  </si>
  <si>
    <t xml:space="preserve">Coffee, snacks
morn, setup</t>
  </si>
  <si>
    <t xml:space="preserve">Café, lunch break
light cleanup</t>
  </si>
  <si>
    <t xml:space="preserve">Café, end of day
full cleanup</t>
  </si>
  <si>
    <t xml:space="preserve">Kitchen, lunch brk
light cleanup</t>
  </si>
  <si>
    <t xml:space="preserve">Kitchen, end of day
full cleanup</t>
  </si>
  <si>
    <t xml:space="preserve">Day 2
Tue, July 21</t>
  </si>
  <si>
    <t xml:space="preserve">Day 3
Wed, Jul 22</t>
  </si>
  <si>
    <t xml:space="preserve">Day 1
Mon, Jul 20</t>
  </si>
  <si>
    <t xml:space="preserve">Day 4
Thu, July 23</t>
  </si>
  <si>
    <t xml:space="preserve">Day 5
Fri, Jul 24</t>
  </si>
  <si>
    <t xml:space="preserve">Day 6
Sat, Jul 25</t>
  </si>
  <si>
    <t>Kevin Woods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</si>
</sst>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4"/>
      <name val="Arial"/>
    </font>
    <font>
      <i/>
      <sz val="10"/>
      <color rgb="FF7F6000"/>
      <name val="Arial"/>
    </font>
    <font>
      <b/>
      <sz val="11"/>
      <color rgb="FFFFFFFF"/>
      <name val="Arial"/>
    </font>
    <font>
      <sz val="10"/>
      <name val="Arial"/>
    </font>
    <font>
      <b/>
      <sz val="10"/>
      <name val="Arial"/>
    </font>
    <font>
      <b/>
      <sz val="20"/>
      <color rgb="FFFFFFFF"/>
      <name val="Arial"/>
    </font>
    <font>
      <b/>
      <sz val="11"/>
      <color rgb="FF1F4E78"/>
      <name val="Arial"/>
    </font>
    <font>
      <i/>
      <sz val="10"/>
      <color rgb="FF888888"/>
      <name val="Arial"/>
    </font>
    <font>
      <b/>
      <sz val="12"/>
      <name val="Arial"/>
      <family val="2"/>
    </font>
    <font>
      <sz val="12"/>
      <color theme="1"/>
      <name val="Calibri"/>
      <family val="2"/>
      <scheme val="minor"/>
    </font>
    <font>
      <b/>
      <sz val="14"/>
      <color rgb="FFFFFFFF"/>
      <name val="Arial"/>
      <family val="2"/>
    </font>
    <font>
      <sz val="14"/>
      <color theme="1"/>
      <name val="Calibri"/>
      <family val="2"/>
      <scheme val="minor"/>
    </font>
    <font>
      <sz val="11"/>
      <name val="Arial"/>
      <family val="2"/>
    </font>
    <font>
      <b/>
      <sz val="11"/>
      <color theme="0"/>
      <name val="Arial"/>
      <family val="2"/>
    </font>
    <font>
      <b/>
      <sz val="12"/>
      <color theme="1"/>
      <name val="Calibri"/>
      <family val="2"/>
      <scheme val="minor"/>
    </font>
    <font>
      <u/>
      <sz val="11"/>
      <color theme="10"/>
      <name val="Calibri"/>
      <family val="2"/>
      <scheme val="minor"/>
    </font>
  </fonts>
  <fills count="16">
    <fill>
      <patternFill patternType="none"/>
    </fill>
    <fill>
      <patternFill patternType="gray125"/>
    </fill>
    <fill>
      <patternFill patternType="solid">
        <fgColor rgb="FFFFF2CC"/>
      </patternFill>
    </fill>
    <fill>
      <patternFill patternType="solid">
        <fgColor rgb="FF1F4E78"/>
      </patternFill>
    </fill>
    <fill>
      <patternFill patternType="solid">
        <fgColor rgb="FFE8F1FA"/>
      </patternFill>
    </fill>
    <fill>
      <patternFill patternType="solid">
        <fgColor rgb="FFD9E1F2"/>
      </patternFill>
    </fill>
    <fill>
      <patternFill patternType="darkHorizontal">
        <fgColor rgb="FF808080"/>
        <bgColor rgb="FFFFFFFF"/>
      </patternFill>
    </fill>
    <fill>
      <patternFill patternType="solid">
        <fgColor rgb="FFC6E0B4"/>
      </patternFill>
    </fill>
    <fill>
      <patternFill patternType="solid">
        <fgColor rgb="FFBDD7EE"/>
      </patternFill>
    </fill>
    <fill>
      <patternFill patternType="lightUp">
        <fgColor rgb="FF808080"/>
        <bgColor rgb="FFFFFFFF"/>
      </patternFill>
    </fill>
    <fill>
      <patternFill patternType="solid">
        <fgColor rgb="FFF8FFF7"/>
        <bgColor indexed="64"/>
      </patternFill>
    </fill>
    <fill>
      <patternFill patternType="solid">
        <fgColor rgb="FFF5F0F0"/>
        <bgColor indexed="64"/>
      </patternFill>
    </fill>
    <fill>
      <patternFill patternType="lightGrid">
        <fgColor theme="1"/>
      </patternFill>
    </fill>
    <fill>
      <patternFill patternType="solid">
        <fgColor theme="0"/>
        <bgColor indexed="64"/>
      </patternFill>
    </fill>
    <fill>
      <patternFill patternType="solid">
        <fgColor theme="0" tint="-0.14999847407452621"/>
        <bgColor indexed="64"/>
      </patternFill>
    </fill>
    <fill>
      <patternFill patternType="solid">
        <fgColor rgb="FFEAD4D3"/>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2">
    <xf numFmtId="0" fontId="0" fillId="0" borderId="0"/>
    <xf numFmtId="0" fontId="16" fillId="0" borderId="0" applyNumberFormat="0" applyFill="0" applyBorder="0" applyAlignment="0" applyProtection="0"/>
  </cellStyleXfs>
  <cellXfs count="49">
    <xf numFmtId="0" fontId="0" fillId="0" borderId="0" xfId="0"/>
    <xf numFmtId="0" fontId="3"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0" fillId="8" borderId="1" xfId="0" applyFill="1" applyBorder="1"/>
    <xf numFmtId="0" fontId="0" fillId="0" borderId="1" xfId="0" applyBorder="1"/>
    <xf numFmtId="0" fontId="8" fillId="0" borderId="1" xfId="0" applyFont="1" applyBorder="1" applyAlignment="1">
      <alignment horizontal="left" vertical="center" wrapText="1"/>
    </xf>
    <xf numFmtId="0" fontId="5" fillId="0" borderId="1" xfId="0" applyFont="1" applyBorder="1" applyAlignment="1">
      <alignment horizontal="left" vertical="top" wrapText="1"/>
    </xf>
    <xf numFmtId="0" fontId="4" fillId="0" borderId="1" xfId="0" applyFont="1" applyBorder="1" applyAlignment="1">
      <alignment horizontal="left" vertical="top" wrapText="1"/>
    </xf>
    <xf numFmtId="0" fontId="5"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3" fillId="3" borderId="4" xfId="0" applyFont="1" applyFill="1" applyBorder="1" applyAlignment="1">
      <alignment horizontal="center" vertical="center" wrapText="1"/>
    </xf>
    <xf numFmtId="0" fontId="5" fillId="5" borderId="4" xfId="0" applyFont="1" applyFill="1" applyBorder="1" applyAlignment="1">
      <alignment horizontal="left" vertical="center" wrapText="1"/>
    </xf>
    <xf numFmtId="0" fontId="5" fillId="5" borderId="4" xfId="0" applyFont="1" applyFill="1" applyBorder="1" applyAlignment="1">
      <alignment horizontal="center" vertical="center" wrapText="1"/>
    </xf>
    <xf numFmtId="0" fontId="4" fillId="0" borderId="4" xfId="0" applyFont="1" applyBorder="1" applyAlignment="1">
      <alignment horizontal="center" vertical="center" wrapText="1"/>
    </xf>
    <xf numFmtId="0" fontId="6" fillId="6" borderId="4" xfId="0" applyFont="1" applyFill="1" applyBorder="1" applyAlignment="1">
      <alignment horizontal="center" vertical="center"/>
    </xf>
    <xf numFmtId="0" fontId="3" fillId="3" borderId="5" xfId="0" applyFont="1" applyFill="1" applyBorder="1" applyAlignment="1">
      <alignment horizontal="center" vertical="center" wrapText="1"/>
    </xf>
    <xf numFmtId="0" fontId="4" fillId="0" borderId="4" xfId="0" applyFont="1" applyBorder="1" applyAlignment="1">
      <alignment horizontal="center" vertical="top" wrapText="1"/>
    </xf>
    <xf numFmtId="0" fontId="0" fillId="0" borderId="0" xfId="0" applyAlignment="1">
      <alignment vertical="center"/>
    </xf>
    <xf numFmtId="0" fontId="6" fillId="9" borderId="4" xfId="0" applyFont="1" applyFill="1" applyBorder="1" applyAlignment="1">
      <alignment horizontal="center" vertical="center"/>
    </xf>
    <xf numFmtId="0" fontId="10" fillId="0" borderId="0" xfId="0" applyFont="1" applyAlignment="1">
      <alignment horizontal="center" vertical="center"/>
    </xf>
    <xf numFmtId="0" fontId="0" fillId="0" borderId="0" xfId="0" applyAlignment="1">
      <alignment horizontal="center" vertical="center"/>
    </xf>
    <xf numFmtId="0" fontId="12" fillId="0" borderId="0" xfId="0" applyFont="1" applyAlignment="1">
      <alignment horizontal="center" vertical="center"/>
    </xf>
    <xf numFmtId="0" fontId="11" fillId="3" borderId="6"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13" fillId="10" borderId="6" xfId="0" applyFont="1" applyFill="1" applyBorder="1" applyAlignment="1">
      <alignment horizontal="center" vertical="center" wrapText="1"/>
    </xf>
    <xf numFmtId="0" fontId="13" fillId="11" borderId="6"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14" fillId="12" borderId="6" xfId="0" applyFont="1" applyFill="1" applyBorder="1" applyAlignment="1">
      <alignment horizontal="center" vertical="center"/>
    </xf>
    <xf numFmtId="0" fontId="2" fillId="2" borderId="1" xfId="0" applyFont="1" applyFill="1" applyBorder="1"/>
    <xf numFmtId="0" fontId="0" fillId="0" borderId="2" xfId="0" applyBorder="1"/>
    <xf numFmtId="0" fontId="0" fillId="0" borderId="3" xfId="0" applyBorder="1"/>
    <xf numFmtId="0" fontId="1" fillId="0" borderId="1" xfId="0" applyFont="1" applyBorder="1"/>
    <xf numFmtId="0" fontId="0" fillId="0" borderId="0" xfId="0"/>
    <xf numFmtId="0" fontId="10" fillId="0" borderId="4" xfId="0" applyFont="1" applyBorder="1" applyAlignment="1">
      <alignment horizontal="center" vertical="center"/>
    </xf>
    <xf numFmtId="0" fontId="15" fillId="0" borderId="4" xfId="0" applyFont="1" applyBorder="1" applyAlignment="1">
      <alignment horizontal="center" vertical="center"/>
    </xf>
    <xf numFmtId="0" fontId="16" fillId="11" borderId="6" xfId="1" applyFill="1" applyBorder="1" applyAlignment="1">
      <alignment horizontal="center" vertical="center" wrapText="1"/>
    </xf>
    <xf numFmtId="0" fontId="13" fillId="10" borderId="6" xfId="0" applyFont="1" applyFill="1" applyBorder="1" applyAlignment="1">
      <alignment horizontal="right" vertical="center" wrapText="1"/>
    </xf>
    <xf numFmtId="0" fontId="15" fillId="13" borderId="4" xfId="0" applyFont="1" applyFill="1" applyBorder="1" applyAlignment="1">
      <alignment horizontal="center" vertical="center"/>
    </xf>
    <xf numFmtId="0" fontId="10" fillId="13" borderId="0" xfId="0" applyFont="1" applyFill="1" applyAlignment="1">
      <alignment horizontal="center" vertical="center"/>
    </xf>
    <xf numFmtId="0" fontId="9" fillId="13" borderId="4" xfId="0" applyFont="1" applyFill="1" applyBorder="1" applyAlignment="1">
      <alignment horizontal="center" vertical="center" wrapText="1"/>
    </xf>
    <xf numFmtId="0" fontId="15" fillId="13" borderId="7" xfId="0" applyFont="1" applyFill="1" applyBorder="1" applyAlignment="1">
      <alignment horizontal="center" vertical="center"/>
    </xf>
    <xf numFmtId="0" fontId="15" fillId="13" borderId="8" xfId="0" applyFont="1" applyFill="1" applyBorder="1" applyAlignment="1">
      <alignment horizontal="center" vertical="center"/>
    </xf>
    <xf numFmtId="0" fontId="13" fillId="14" borderId="6" xfId="0" applyFont="1" applyFill="1" applyBorder="1" applyAlignment="1">
      <alignment horizontal="center" vertical="center" wrapText="1"/>
    </xf>
    <xf numFmtId="0" fontId="13" fillId="15" borderId="6"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9" defaultPivotStyle="PivotStyleLight16"/>
  <colors>
    <mruColors>
      <color rgb="FFEAD4D3"/>
      <color rgb="FFF5F0F0"/>
      <color rgb="FFF8FFF7"/>
      <color rgb="FFFAFBF7"/>
      <color rgb="FFF1F5E7"/>
      <color rgb="FFFCFDF9"/>
      <color rgb="FFFAF0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6"/>
  <sheetViews>
    <sheetView workbookViewId="0">
      <pane ySplit="4" topLeftCell="A5" activePane="bottomLeft" state="frozen"/>
      <selection pane="bottomLeft" sqref="A1:G1"/>
    </sheetView>
  </sheetViews>
  <sheetFormatPr defaultRowHeight="14.5" x14ac:dyDescent="0.35"/>
  <cols>
    <col min="1" max="1" width="8" customWidth="1"/>
    <col min="2" max="2" width="10" customWidth="1"/>
    <col min="3" max="3" width="16" customWidth="1"/>
    <col min="4" max="4" width="32" customWidth="1"/>
    <col min="5" max="5" width="22" customWidth="1"/>
    <col min="6" max="6" width="12" customWidth="1"/>
    <col min="7" max="7" width="14" customWidth="1"/>
  </cols>
  <sheetData>
    <row r="1" spans="1:7" ht="18" x14ac:dyDescent="0.4">
      <c r="A1" s="36" t="s">
        <v>0</v>
      </c>
      <c r="B1" s="37"/>
      <c r="C1" s="37"/>
      <c r="D1" s="37"/>
      <c r="E1" s="37"/>
      <c r="F1" s="37"/>
      <c r="G1" s="37"/>
    </row>
    <row r="2" spans="1:7" x14ac:dyDescent="0.35">
      <c r="A2" s="33" t="s">
        <v>1</v>
      </c>
      <c r="B2" s="34"/>
      <c r="C2" s="34"/>
      <c r="D2" s="34"/>
      <c r="E2" s="34"/>
      <c r="F2" s="34"/>
      <c r="G2" s="35"/>
    </row>
    <row r="4" spans="1:7" ht="28" x14ac:dyDescent="0.35">
      <c r="A4" s="1" t="s">
        <v>2</v>
      </c>
      <c r="B4" s="1" t="s">
        <v>3</v>
      </c>
      <c r="C4" s="1" t="s">
        <v>4</v>
      </c>
      <c r="D4" s="1" t="s">
        <v>5</v>
      </c>
      <c r="E4" s="1" t="s">
        <v>6</v>
      </c>
      <c r="F4" s="1" t="s">
        <v>7</v>
      </c>
      <c r="G4" s="1" t="s">
        <v>8</v>
      </c>
    </row>
    <row r="5" spans="1:7" x14ac:dyDescent="0.35">
      <c r="A5" s="2">
        <v>1</v>
      </c>
      <c r="B5" s="2" t="s">
        <v>9</v>
      </c>
      <c r="C5" s="3" t="s">
        <v>10</v>
      </c>
      <c r="D5" s="3" t="s">
        <v>11</v>
      </c>
      <c r="E5" s="3" t="s">
        <v>12</v>
      </c>
      <c r="F5" s="2">
        <v>1</v>
      </c>
      <c r="G5" s="2">
        <v>15</v>
      </c>
    </row>
    <row r="6" spans="1:7" x14ac:dyDescent="0.35">
      <c r="A6" s="2">
        <v>1</v>
      </c>
      <c r="B6" s="2" t="s">
        <v>9</v>
      </c>
      <c r="C6" s="3" t="s">
        <v>13</v>
      </c>
      <c r="D6" s="3" t="s">
        <v>14</v>
      </c>
      <c r="E6" s="3" t="s">
        <v>15</v>
      </c>
      <c r="F6" s="2">
        <v>1</v>
      </c>
      <c r="G6" s="2">
        <v>10</v>
      </c>
    </row>
    <row r="7" spans="1:7" x14ac:dyDescent="0.35">
      <c r="A7" s="2">
        <v>1</v>
      </c>
      <c r="B7" s="2" t="s">
        <v>9</v>
      </c>
      <c r="C7" s="3" t="s">
        <v>13</v>
      </c>
      <c r="D7" s="3" t="s">
        <v>16</v>
      </c>
      <c r="E7" s="3" t="s">
        <v>15</v>
      </c>
      <c r="F7" s="2">
        <v>1</v>
      </c>
      <c r="G7" s="2">
        <v>10</v>
      </c>
    </row>
    <row r="8" spans="1:7" x14ac:dyDescent="0.35">
      <c r="A8" s="2">
        <v>1</v>
      </c>
      <c r="B8" s="2" t="s">
        <v>9</v>
      </c>
      <c r="C8" s="3" t="s">
        <v>17</v>
      </c>
      <c r="D8" s="3" t="s">
        <v>14</v>
      </c>
      <c r="E8" s="3" t="s">
        <v>18</v>
      </c>
      <c r="F8" s="2">
        <v>1</v>
      </c>
      <c r="G8" s="2">
        <v>20</v>
      </c>
    </row>
    <row r="9" spans="1:7" x14ac:dyDescent="0.35">
      <c r="A9" s="2">
        <v>1</v>
      </c>
      <c r="B9" s="2" t="s">
        <v>9</v>
      </c>
      <c r="C9" s="3" t="s">
        <v>17</v>
      </c>
      <c r="D9" s="3" t="s">
        <v>16</v>
      </c>
      <c r="E9" s="3" t="s">
        <v>18</v>
      </c>
      <c r="F9" s="2">
        <v>1</v>
      </c>
      <c r="G9" s="2">
        <v>20</v>
      </c>
    </row>
    <row r="10" spans="1:7" x14ac:dyDescent="0.35">
      <c r="A10" s="2">
        <v>1</v>
      </c>
      <c r="B10" s="2" t="s">
        <v>9</v>
      </c>
      <c r="C10" s="3" t="s">
        <v>17</v>
      </c>
      <c r="D10" s="3" t="s">
        <v>11</v>
      </c>
      <c r="E10" s="3" t="s">
        <v>19</v>
      </c>
      <c r="F10" s="2">
        <v>1</v>
      </c>
      <c r="G10" s="2">
        <v>15</v>
      </c>
    </row>
    <row r="11" spans="1:7" x14ac:dyDescent="0.35">
      <c r="A11" s="2">
        <v>1</v>
      </c>
      <c r="B11" s="2" t="s">
        <v>9</v>
      </c>
      <c r="C11" s="3" t="s">
        <v>20</v>
      </c>
      <c r="D11" s="3" t="s">
        <v>21</v>
      </c>
      <c r="E11" s="3" t="s">
        <v>22</v>
      </c>
      <c r="F11" s="2">
        <v>1</v>
      </c>
      <c r="G11" s="2">
        <v>10</v>
      </c>
    </row>
    <row r="12" spans="1:7" x14ac:dyDescent="0.35">
      <c r="A12" s="2">
        <v>1</v>
      </c>
      <c r="B12" s="2" t="s">
        <v>9</v>
      </c>
      <c r="C12" s="3" t="s">
        <v>20</v>
      </c>
      <c r="D12" s="3" t="s">
        <v>23</v>
      </c>
      <c r="E12" s="3" t="s">
        <v>24</v>
      </c>
      <c r="F12" s="2">
        <v>1</v>
      </c>
      <c r="G12" s="2">
        <v>10</v>
      </c>
    </row>
    <row r="13" spans="1:7" x14ac:dyDescent="0.35">
      <c r="A13" s="2">
        <v>1</v>
      </c>
      <c r="B13" s="2" t="s">
        <v>9</v>
      </c>
      <c r="C13" s="3" t="s">
        <v>20</v>
      </c>
      <c r="D13" s="3" t="s">
        <v>25</v>
      </c>
      <c r="E13" s="3" t="s">
        <v>26</v>
      </c>
      <c r="F13" s="2">
        <v>1</v>
      </c>
      <c r="G13" s="2">
        <v>15</v>
      </c>
    </row>
    <row r="14" spans="1:7" x14ac:dyDescent="0.35">
      <c r="A14" s="2">
        <v>1</v>
      </c>
      <c r="B14" s="2" t="s">
        <v>9</v>
      </c>
      <c r="C14" s="3" t="s">
        <v>20</v>
      </c>
      <c r="D14" s="3" t="s">
        <v>27</v>
      </c>
      <c r="E14" s="3" t="s">
        <v>24</v>
      </c>
      <c r="F14" s="2">
        <v>1</v>
      </c>
      <c r="G14" s="2">
        <v>10</v>
      </c>
    </row>
    <row r="15" spans="1:7" x14ac:dyDescent="0.35">
      <c r="A15" s="2">
        <v>1</v>
      </c>
      <c r="B15" s="2" t="s">
        <v>9</v>
      </c>
      <c r="C15" s="3" t="s">
        <v>20</v>
      </c>
      <c r="D15" s="3" t="s">
        <v>28</v>
      </c>
      <c r="E15" s="3" t="s">
        <v>24</v>
      </c>
      <c r="F15" s="2">
        <v>1</v>
      </c>
      <c r="G15" s="2">
        <v>10</v>
      </c>
    </row>
    <row r="16" spans="1:7" x14ac:dyDescent="0.35">
      <c r="A16" s="4">
        <v>2</v>
      </c>
      <c r="B16" s="4" t="s">
        <v>29</v>
      </c>
      <c r="C16" s="5" t="s">
        <v>10</v>
      </c>
      <c r="D16" s="5" t="s">
        <v>11</v>
      </c>
      <c r="E16" s="5" t="s">
        <v>12</v>
      </c>
      <c r="F16" s="4">
        <v>1</v>
      </c>
      <c r="G16" s="4">
        <v>15</v>
      </c>
    </row>
    <row r="17" spans="1:7" x14ac:dyDescent="0.35">
      <c r="A17" s="4">
        <v>2</v>
      </c>
      <c r="B17" s="4" t="s">
        <v>29</v>
      </c>
      <c r="C17" s="5" t="s">
        <v>13</v>
      </c>
      <c r="D17" s="5" t="s">
        <v>14</v>
      </c>
      <c r="E17" s="5" t="s">
        <v>15</v>
      </c>
      <c r="F17" s="4">
        <v>1</v>
      </c>
      <c r="G17" s="4">
        <v>10</v>
      </c>
    </row>
    <row r="18" spans="1:7" x14ac:dyDescent="0.35">
      <c r="A18" s="4">
        <v>2</v>
      </c>
      <c r="B18" s="4" t="s">
        <v>29</v>
      </c>
      <c r="C18" s="5" t="s">
        <v>13</v>
      </c>
      <c r="D18" s="5" t="s">
        <v>16</v>
      </c>
      <c r="E18" s="5" t="s">
        <v>15</v>
      </c>
      <c r="F18" s="4">
        <v>1</v>
      </c>
      <c r="G18" s="4">
        <v>10</v>
      </c>
    </row>
    <row r="19" spans="1:7" x14ac:dyDescent="0.35">
      <c r="A19" s="4">
        <v>2</v>
      </c>
      <c r="B19" s="4" t="s">
        <v>29</v>
      </c>
      <c r="C19" s="5" t="s">
        <v>17</v>
      </c>
      <c r="D19" s="5" t="s">
        <v>14</v>
      </c>
      <c r="E19" s="5" t="s">
        <v>18</v>
      </c>
      <c r="F19" s="4">
        <v>1</v>
      </c>
      <c r="G19" s="4">
        <v>20</v>
      </c>
    </row>
    <row r="20" spans="1:7" x14ac:dyDescent="0.35">
      <c r="A20" s="4">
        <v>2</v>
      </c>
      <c r="B20" s="4" t="s">
        <v>29</v>
      </c>
      <c r="C20" s="5" t="s">
        <v>17</v>
      </c>
      <c r="D20" s="5" t="s">
        <v>16</v>
      </c>
      <c r="E20" s="5" t="s">
        <v>18</v>
      </c>
      <c r="F20" s="4">
        <v>1</v>
      </c>
      <c r="G20" s="4">
        <v>20</v>
      </c>
    </row>
    <row r="21" spans="1:7" x14ac:dyDescent="0.35">
      <c r="A21" s="4">
        <v>2</v>
      </c>
      <c r="B21" s="4" t="s">
        <v>29</v>
      </c>
      <c r="C21" s="5" t="s">
        <v>17</v>
      </c>
      <c r="D21" s="5" t="s">
        <v>11</v>
      </c>
      <c r="E21" s="5" t="s">
        <v>19</v>
      </c>
      <c r="F21" s="4">
        <v>1</v>
      </c>
      <c r="G21" s="4">
        <v>15</v>
      </c>
    </row>
    <row r="22" spans="1:7" ht="25" x14ac:dyDescent="0.35">
      <c r="A22" s="4">
        <v>2</v>
      </c>
      <c r="B22" s="4" t="s">
        <v>29</v>
      </c>
      <c r="C22" s="5" t="s">
        <v>17</v>
      </c>
      <c r="D22" s="5" t="s">
        <v>30</v>
      </c>
      <c r="E22" s="5" t="s">
        <v>31</v>
      </c>
      <c r="F22" s="4">
        <v>1</v>
      </c>
      <c r="G22" s="4">
        <v>15</v>
      </c>
    </row>
    <row r="23" spans="1:7" x14ac:dyDescent="0.35">
      <c r="A23" s="4">
        <v>2</v>
      </c>
      <c r="B23" s="4" t="s">
        <v>29</v>
      </c>
      <c r="C23" s="5" t="s">
        <v>20</v>
      </c>
      <c r="D23" s="5" t="s">
        <v>32</v>
      </c>
      <c r="E23" s="5" t="s">
        <v>22</v>
      </c>
      <c r="F23" s="4">
        <v>1</v>
      </c>
      <c r="G23" s="4">
        <v>15</v>
      </c>
    </row>
    <row r="24" spans="1:7" x14ac:dyDescent="0.35">
      <c r="A24" s="4">
        <v>2</v>
      </c>
      <c r="B24" s="4" t="s">
        <v>29</v>
      </c>
      <c r="C24" s="5" t="s">
        <v>20</v>
      </c>
      <c r="D24" s="5" t="s">
        <v>33</v>
      </c>
      <c r="E24" s="5" t="s">
        <v>22</v>
      </c>
      <c r="F24" s="4">
        <v>1</v>
      </c>
      <c r="G24" s="4">
        <v>15</v>
      </c>
    </row>
    <row r="25" spans="1:7" x14ac:dyDescent="0.35">
      <c r="A25" s="4">
        <v>2</v>
      </c>
      <c r="B25" s="4" t="s">
        <v>29</v>
      </c>
      <c r="C25" s="5" t="s">
        <v>20</v>
      </c>
      <c r="D25" s="5" t="s">
        <v>21</v>
      </c>
      <c r="E25" s="5" t="s">
        <v>22</v>
      </c>
      <c r="F25" s="4">
        <v>1</v>
      </c>
      <c r="G25" s="4">
        <v>10</v>
      </c>
    </row>
    <row r="26" spans="1:7" x14ac:dyDescent="0.35">
      <c r="A26" s="4">
        <v>2</v>
      </c>
      <c r="B26" s="4" t="s">
        <v>29</v>
      </c>
      <c r="C26" s="5" t="s">
        <v>20</v>
      </c>
      <c r="D26" s="5" t="s">
        <v>34</v>
      </c>
      <c r="E26" s="5" t="s">
        <v>35</v>
      </c>
      <c r="F26" s="4">
        <v>1</v>
      </c>
      <c r="G26" s="4">
        <v>10</v>
      </c>
    </row>
    <row r="27" spans="1:7" x14ac:dyDescent="0.35">
      <c r="A27" s="4">
        <v>2</v>
      </c>
      <c r="B27" s="4" t="s">
        <v>29</v>
      </c>
      <c r="C27" s="5" t="s">
        <v>20</v>
      </c>
      <c r="D27" s="5" t="s">
        <v>23</v>
      </c>
      <c r="E27" s="5" t="s">
        <v>24</v>
      </c>
      <c r="F27" s="4">
        <v>1</v>
      </c>
      <c r="G27" s="4">
        <v>10</v>
      </c>
    </row>
    <row r="28" spans="1:7" x14ac:dyDescent="0.35">
      <c r="A28" s="4">
        <v>2</v>
      </c>
      <c r="B28" s="4" t="s">
        <v>29</v>
      </c>
      <c r="C28" s="5" t="s">
        <v>20</v>
      </c>
      <c r="D28" s="5" t="s">
        <v>25</v>
      </c>
      <c r="E28" s="5" t="s">
        <v>26</v>
      </c>
      <c r="F28" s="4">
        <v>1</v>
      </c>
      <c r="G28" s="4">
        <v>15</v>
      </c>
    </row>
    <row r="29" spans="1:7" x14ac:dyDescent="0.35">
      <c r="A29" s="4">
        <v>2</v>
      </c>
      <c r="B29" s="4" t="s">
        <v>29</v>
      </c>
      <c r="C29" s="5" t="s">
        <v>20</v>
      </c>
      <c r="D29" s="5" t="s">
        <v>27</v>
      </c>
      <c r="E29" s="5" t="s">
        <v>24</v>
      </c>
      <c r="F29" s="4">
        <v>1</v>
      </c>
      <c r="G29" s="4">
        <v>10</v>
      </c>
    </row>
    <row r="30" spans="1:7" x14ac:dyDescent="0.35">
      <c r="A30" s="4">
        <v>2</v>
      </c>
      <c r="B30" s="4" t="s">
        <v>29</v>
      </c>
      <c r="C30" s="5" t="s">
        <v>20</v>
      </c>
      <c r="D30" s="5" t="s">
        <v>28</v>
      </c>
      <c r="E30" s="5" t="s">
        <v>24</v>
      </c>
      <c r="F30" s="4">
        <v>1</v>
      </c>
      <c r="G30" s="4">
        <v>10</v>
      </c>
    </row>
    <row r="31" spans="1:7" x14ac:dyDescent="0.35">
      <c r="A31" s="2">
        <v>3</v>
      </c>
      <c r="B31" s="2" t="s">
        <v>36</v>
      </c>
      <c r="C31" s="3" t="s">
        <v>10</v>
      </c>
      <c r="D31" s="3" t="s">
        <v>11</v>
      </c>
      <c r="E31" s="3" t="s">
        <v>12</v>
      </c>
      <c r="F31" s="2">
        <v>1</v>
      </c>
      <c r="G31" s="2">
        <v>15</v>
      </c>
    </row>
    <row r="32" spans="1:7" x14ac:dyDescent="0.35">
      <c r="A32" s="2">
        <v>3</v>
      </c>
      <c r="B32" s="2" t="s">
        <v>36</v>
      </c>
      <c r="C32" s="3" t="s">
        <v>13</v>
      </c>
      <c r="D32" s="3" t="s">
        <v>14</v>
      </c>
      <c r="E32" s="3" t="s">
        <v>15</v>
      </c>
      <c r="F32" s="2">
        <v>1</v>
      </c>
      <c r="G32" s="2">
        <v>10</v>
      </c>
    </row>
    <row r="33" spans="1:7" x14ac:dyDescent="0.35">
      <c r="A33" s="2">
        <v>3</v>
      </c>
      <c r="B33" s="2" t="s">
        <v>36</v>
      </c>
      <c r="C33" s="3" t="s">
        <v>13</v>
      </c>
      <c r="D33" s="3" t="s">
        <v>16</v>
      </c>
      <c r="E33" s="3" t="s">
        <v>15</v>
      </c>
      <c r="F33" s="2">
        <v>1</v>
      </c>
      <c r="G33" s="2">
        <v>10</v>
      </c>
    </row>
    <row r="34" spans="1:7" x14ac:dyDescent="0.35">
      <c r="A34" s="2">
        <v>3</v>
      </c>
      <c r="B34" s="2" t="s">
        <v>36</v>
      </c>
      <c r="C34" s="3" t="s">
        <v>17</v>
      </c>
      <c r="D34" s="3" t="s">
        <v>14</v>
      </c>
      <c r="E34" s="3" t="s">
        <v>18</v>
      </c>
      <c r="F34" s="2">
        <v>1</v>
      </c>
      <c r="G34" s="2">
        <v>20</v>
      </c>
    </row>
    <row r="35" spans="1:7" x14ac:dyDescent="0.35">
      <c r="A35" s="2">
        <v>3</v>
      </c>
      <c r="B35" s="2" t="s">
        <v>36</v>
      </c>
      <c r="C35" s="3" t="s">
        <v>17</v>
      </c>
      <c r="D35" s="3" t="s">
        <v>16</v>
      </c>
      <c r="E35" s="3" t="s">
        <v>18</v>
      </c>
      <c r="F35" s="2">
        <v>1</v>
      </c>
      <c r="G35" s="2">
        <v>20</v>
      </c>
    </row>
    <row r="36" spans="1:7" x14ac:dyDescent="0.35">
      <c r="A36" s="2">
        <v>3</v>
      </c>
      <c r="B36" s="2" t="s">
        <v>36</v>
      </c>
      <c r="C36" s="3" t="s">
        <v>17</v>
      </c>
      <c r="D36" s="3" t="s">
        <v>11</v>
      </c>
      <c r="E36" s="3" t="s">
        <v>19</v>
      </c>
      <c r="F36" s="2">
        <v>1</v>
      </c>
      <c r="G36" s="2">
        <v>15</v>
      </c>
    </row>
    <row r="37" spans="1:7" x14ac:dyDescent="0.35">
      <c r="A37" s="2">
        <v>3</v>
      </c>
      <c r="B37" s="2" t="s">
        <v>36</v>
      </c>
      <c r="C37" s="3" t="s">
        <v>20</v>
      </c>
      <c r="D37" s="3" t="s">
        <v>21</v>
      </c>
      <c r="E37" s="3" t="s">
        <v>22</v>
      </c>
      <c r="F37" s="2">
        <v>1</v>
      </c>
      <c r="G37" s="2">
        <v>10</v>
      </c>
    </row>
    <row r="38" spans="1:7" x14ac:dyDescent="0.35">
      <c r="A38" s="2">
        <v>3</v>
      </c>
      <c r="B38" s="2" t="s">
        <v>36</v>
      </c>
      <c r="C38" s="3" t="s">
        <v>20</v>
      </c>
      <c r="D38" s="3" t="s">
        <v>23</v>
      </c>
      <c r="E38" s="3" t="s">
        <v>24</v>
      </c>
      <c r="F38" s="2">
        <v>1</v>
      </c>
      <c r="G38" s="2">
        <v>10</v>
      </c>
    </row>
    <row r="39" spans="1:7" x14ac:dyDescent="0.35">
      <c r="A39" s="2">
        <v>3</v>
      </c>
      <c r="B39" s="2" t="s">
        <v>36</v>
      </c>
      <c r="C39" s="3" t="s">
        <v>20</v>
      </c>
      <c r="D39" s="3" t="s">
        <v>25</v>
      </c>
      <c r="E39" s="3" t="s">
        <v>26</v>
      </c>
      <c r="F39" s="2">
        <v>1</v>
      </c>
      <c r="G39" s="2">
        <v>15</v>
      </c>
    </row>
    <row r="40" spans="1:7" x14ac:dyDescent="0.35">
      <c r="A40" s="2">
        <v>3</v>
      </c>
      <c r="B40" s="2" t="s">
        <v>36</v>
      </c>
      <c r="C40" s="3" t="s">
        <v>20</v>
      </c>
      <c r="D40" s="3" t="s">
        <v>27</v>
      </c>
      <c r="E40" s="3" t="s">
        <v>24</v>
      </c>
      <c r="F40" s="2">
        <v>1</v>
      </c>
      <c r="G40" s="2">
        <v>10</v>
      </c>
    </row>
    <row r="41" spans="1:7" x14ac:dyDescent="0.35">
      <c r="A41" s="2">
        <v>3</v>
      </c>
      <c r="B41" s="2" t="s">
        <v>36</v>
      </c>
      <c r="C41" s="3" t="s">
        <v>20</v>
      </c>
      <c r="D41" s="3" t="s">
        <v>28</v>
      </c>
      <c r="E41" s="3" t="s">
        <v>24</v>
      </c>
      <c r="F41" s="2">
        <v>1</v>
      </c>
      <c r="G41" s="2">
        <v>10</v>
      </c>
    </row>
    <row r="42" spans="1:7" x14ac:dyDescent="0.35">
      <c r="A42" s="2">
        <v>3</v>
      </c>
      <c r="B42" s="2" t="s">
        <v>36</v>
      </c>
      <c r="C42" s="3" t="s">
        <v>20</v>
      </c>
      <c r="D42" s="3" t="s">
        <v>37</v>
      </c>
      <c r="E42" s="3" t="s">
        <v>22</v>
      </c>
      <c r="F42" s="2">
        <v>1</v>
      </c>
      <c r="G42" s="2">
        <v>15</v>
      </c>
    </row>
    <row r="43" spans="1:7" x14ac:dyDescent="0.35">
      <c r="A43" s="2">
        <v>3</v>
      </c>
      <c r="B43" s="2" t="s">
        <v>36</v>
      </c>
      <c r="C43" s="3" t="s">
        <v>20</v>
      </c>
      <c r="D43" s="3" t="s">
        <v>38</v>
      </c>
      <c r="E43" s="3" t="s">
        <v>35</v>
      </c>
      <c r="F43" s="2">
        <v>1</v>
      </c>
      <c r="G43" s="2">
        <v>10</v>
      </c>
    </row>
    <row r="44" spans="1:7" x14ac:dyDescent="0.35">
      <c r="A44" s="4">
        <v>4</v>
      </c>
      <c r="B44" s="4" t="s">
        <v>39</v>
      </c>
      <c r="C44" s="5" t="s">
        <v>10</v>
      </c>
      <c r="D44" s="5" t="s">
        <v>11</v>
      </c>
      <c r="E44" s="5" t="s">
        <v>12</v>
      </c>
      <c r="F44" s="4">
        <v>1</v>
      </c>
      <c r="G44" s="4">
        <v>15</v>
      </c>
    </row>
    <row r="45" spans="1:7" x14ac:dyDescent="0.35">
      <c r="A45" s="4">
        <v>4</v>
      </c>
      <c r="B45" s="4" t="s">
        <v>39</v>
      </c>
      <c r="C45" s="5" t="s">
        <v>13</v>
      </c>
      <c r="D45" s="5" t="s">
        <v>14</v>
      </c>
      <c r="E45" s="5" t="s">
        <v>15</v>
      </c>
      <c r="F45" s="4">
        <v>1</v>
      </c>
      <c r="G45" s="4">
        <v>10</v>
      </c>
    </row>
    <row r="46" spans="1:7" x14ac:dyDescent="0.35">
      <c r="A46" s="4">
        <v>4</v>
      </c>
      <c r="B46" s="4" t="s">
        <v>39</v>
      </c>
      <c r="C46" s="5" t="s">
        <v>13</v>
      </c>
      <c r="D46" s="5" t="s">
        <v>16</v>
      </c>
      <c r="E46" s="5" t="s">
        <v>15</v>
      </c>
      <c r="F46" s="4">
        <v>1</v>
      </c>
      <c r="G46" s="4">
        <v>10</v>
      </c>
    </row>
    <row r="47" spans="1:7" x14ac:dyDescent="0.35">
      <c r="A47" s="4">
        <v>4</v>
      </c>
      <c r="B47" s="4" t="s">
        <v>39</v>
      </c>
      <c r="C47" s="5" t="s">
        <v>17</v>
      </c>
      <c r="D47" s="5" t="s">
        <v>14</v>
      </c>
      <c r="E47" s="5" t="s">
        <v>18</v>
      </c>
      <c r="F47" s="4">
        <v>1</v>
      </c>
      <c r="G47" s="4">
        <v>20</v>
      </c>
    </row>
    <row r="48" spans="1:7" x14ac:dyDescent="0.35">
      <c r="A48" s="4">
        <v>4</v>
      </c>
      <c r="B48" s="4" t="s">
        <v>39</v>
      </c>
      <c r="C48" s="5" t="s">
        <v>17</v>
      </c>
      <c r="D48" s="5" t="s">
        <v>16</v>
      </c>
      <c r="E48" s="5" t="s">
        <v>18</v>
      </c>
      <c r="F48" s="4">
        <v>1</v>
      </c>
      <c r="G48" s="4">
        <v>20</v>
      </c>
    </row>
    <row r="49" spans="1:7" x14ac:dyDescent="0.35">
      <c r="A49" s="4">
        <v>4</v>
      </c>
      <c r="B49" s="4" t="s">
        <v>39</v>
      </c>
      <c r="C49" s="5" t="s">
        <v>17</v>
      </c>
      <c r="D49" s="5" t="s">
        <v>11</v>
      </c>
      <c r="E49" s="5" t="s">
        <v>19</v>
      </c>
      <c r="F49" s="4">
        <v>1</v>
      </c>
      <c r="G49" s="4">
        <v>15</v>
      </c>
    </row>
    <row r="50" spans="1:7" ht="25" x14ac:dyDescent="0.35">
      <c r="A50" s="4">
        <v>4</v>
      </c>
      <c r="B50" s="4" t="s">
        <v>39</v>
      </c>
      <c r="C50" s="5" t="s">
        <v>17</v>
      </c>
      <c r="D50" s="5" t="s">
        <v>30</v>
      </c>
      <c r="E50" s="5" t="s">
        <v>31</v>
      </c>
      <c r="F50" s="4">
        <v>1</v>
      </c>
      <c r="G50" s="4">
        <v>15</v>
      </c>
    </row>
    <row r="51" spans="1:7" x14ac:dyDescent="0.35">
      <c r="A51" s="4">
        <v>4</v>
      </c>
      <c r="B51" s="4" t="s">
        <v>39</v>
      </c>
      <c r="C51" s="5" t="s">
        <v>20</v>
      </c>
      <c r="D51" s="5" t="s">
        <v>32</v>
      </c>
      <c r="E51" s="5" t="s">
        <v>22</v>
      </c>
      <c r="F51" s="4">
        <v>1</v>
      </c>
      <c r="G51" s="4">
        <v>15</v>
      </c>
    </row>
    <row r="52" spans="1:7" x14ac:dyDescent="0.35">
      <c r="A52" s="4">
        <v>4</v>
      </c>
      <c r="B52" s="4" t="s">
        <v>39</v>
      </c>
      <c r="C52" s="5" t="s">
        <v>20</v>
      </c>
      <c r="D52" s="5" t="s">
        <v>33</v>
      </c>
      <c r="E52" s="5" t="s">
        <v>22</v>
      </c>
      <c r="F52" s="4">
        <v>1</v>
      </c>
      <c r="G52" s="4">
        <v>15</v>
      </c>
    </row>
    <row r="53" spans="1:7" x14ac:dyDescent="0.35">
      <c r="A53" s="4">
        <v>4</v>
      </c>
      <c r="B53" s="4" t="s">
        <v>39</v>
      </c>
      <c r="C53" s="5" t="s">
        <v>20</v>
      </c>
      <c r="D53" s="5" t="s">
        <v>21</v>
      </c>
      <c r="E53" s="5" t="s">
        <v>22</v>
      </c>
      <c r="F53" s="4">
        <v>1</v>
      </c>
      <c r="G53" s="4">
        <v>10</v>
      </c>
    </row>
    <row r="54" spans="1:7" x14ac:dyDescent="0.35">
      <c r="A54" s="4">
        <v>4</v>
      </c>
      <c r="B54" s="4" t="s">
        <v>39</v>
      </c>
      <c r="C54" s="5" t="s">
        <v>20</v>
      </c>
      <c r="D54" s="5" t="s">
        <v>34</v>
      </c>
      <c r="E54" s="5" t="s">
        <v>35</v>
      </c>
      <c r="F54" s="4">
        <v>1</v>
      </c>
      <c r="G54" s="4">
        <v>10</v>
      </c>
    </row>
    <row r="55" spans="1:7" x14ac:dyDescent="0.35">
      <c r="A55" s="4">
        <v>4</v>
      </c>
      <c r="B55" s="4" t="s">
        <v>39</v>
      </c>
      <c r="C55" s="5" t="s">
        <v>20</v>
      </c>
      <c r="D55" s="5" t="s">
        <v>23</v>
      </c>
      <c r="E55" s="5" t="s">
        <v>24</v>
      </c>
      <c r="F55" s="4">
        <v>1</v>
      </c>
      <c r="G55" s="4">
        <v>10</v>
      </c>
    </row>
    <row r="56" spans="1:7" x14ac:dyDescent="0.35">
      <c r="A56" s="4">
        <v>4</v>
      </c>
      <c r="B56" s="4" t="s">
        <v>39</v>
      </c>
      <c r="C56" s="5" t="s">
        <v>20</v>
      </c>
      <c r="D56" s="5" t="s">
        <v>25</v>
      </c>
      <c r="E56" s="5" t="s">
        <v>26</v>
      </c>
      <c r="F56" s="4">
        <v>1</v>
      </c>
      <c r="G56" s="4">
        <v>15</v>
      </c>
    </row>
    <row r="57" spans="1:7" x14ac:dyDescent="0.35">
      <c r="A57" s="4">
        <v>4</v>
      </c>
      <c r="B57" s="4" t="s">
        <v>39</v>
      </c>
      <c r="C57" s="5" t="s">
        <v>20</v>
      </c>
      <c r="D57" s="5" t="s">
        <v>27</v>
      </c>
      <c r="E57" s="5" t="s">
        <v>24</v>
      </c>
      <c r="F57" s="4">
        <v>1</v>
      </c>
      <c r="G57" s="4">
        <v>10</v>
      </c>
    </row>
    <row r="58" spans="1:7" x14ac:dyDescent="0.35">
      <c r="A58" s="4">
        <v>4</v>
      </c>
      <c r="B58" s="4" t="s">
        <v>39</v>
      </c>
      <c r="C58" s="5" t="s">
        <v>20</v>
      </c>
      <c r="D58" s="5" t="s">
        <v>28</v>
      </c>
      <c r="E58" s="5" t="s">
        <v>24</v>
      </c>
      <c r="F58" s="4">
        <v>1</v>
      </c>
      <c r="G58" s="4">
        <v>10</v>
      </c>
    </row>
    <row r="59" spans="1:7" x14ac:dyDescent="0.35">
      <c r="A59" s="2">
        <v>5</v>
      </c>
      <c r="B59" s="2" t="s">
        <v>40</v>
      </c>
      <c r="C59" s="3" t="s">
        <v>10</v>
      </c>
      <c r="D59" s="3" t="s">
        <v>11</v>
      </c>
      <c r="E59" s="3" t="s">
        <v>12</v>
      </c>
      <c r="F59" s="2">
        <v>1</v>
      </c>
      <c r="G59" s="2">
        <v>15</v>
      </c>
    </row>
    <row r="60" spans="1:7" x14ac:dyDescent="0.35">
      <c r="A60" s="2">
        <v>5</v>
      </c>
      <c r="B60" s="2" t="s">
        <v>40</v>
      </c>
      <c r="C60" s="3" t="s">
        <v>13</v>
      </c>
      <c r="D60" s="3" t="s">
        <v>14</v>
      </c>
      <c r="E60" s="3" t="s">
        <v>15</v>
      </c>
      <c r="F60" s="2">
        <v>1</v>
      </c>
      <c r="G60" s="2">
        <v>10</v>
      </c>
    </row>
    <row r="61" spans="1:7" x14ac:dyDescent="0.35">
      <c r="A61" s="2">
        <v>5</v>
      </c>
      <c r="B61" s="2" t="s">
        <v>40</v>
      </c>
      <c r="C61" s="3" t="s">
        <v>13</v>
      </c>
      <c r="D61" s="3" t="s">
        <v>16</v>
      </c>
      <c r="E61" s="3" t="s">
        <v>15</v>
      </c>
      <c r="F61" s="2">
        <v>1</v>
      </c>
      <c r="G61" s="2">
        <v>10</v>
      </c>
    </row>
    <row r="62" spans="1:7" x14ac:dyDescent="0.35">
      <c r="A62" s="2">
        <v>5</v>
      </c>
      <c r="B62" s="2" t="s">
        <v>40</v>
      </c>
      <c r="C62" s="3" t="s">
        <v>17</v>
      </c>
      <c r="D62" s="3" t="s">
        <v>14</v>
      </c>
      <c r="E62" s="3" t="s">
        <v>18</v>
      </c>
      <c r="F62" s="2">
        <v>1</v>
      </c>
      <c r="G62" s="2">
        <v>20</v>
      </c>
    </row>
    <row r="63" spans="1:7" x14ac:dyDescent="0.35">
      <c r="A63" s="2">
        <v>5</v>
      </c>
      <c r="B63" s="2" t="s">
        <v>40</v>
      </c>
      <c r="C63" s="3" t="s">
        <v>17</v>
      </c>
      <c r="D63" s="3" t="s">
        <v>16</v>
      </c>
      <c r="E63" s="3" t="s">
        <v>18</v>
      </c>
      <c r="F63" s="2">
        <v>1</v>
      </c>
      <c r="G63" s="2">
        <v>20</v>
      </c>
    </row>
    <row r="64" spans="1:7" x14ac:dyDescent="0.35">
      <c r="A64" s="2">
        <v>5</v>
      </c>
      <c r="B64" s="2" t="s">
        <v>40</v>
      </c>
      <c r="C64" s="3" t="s">
        <v>17</v>
      </c>
      <c r="D64" s="3" t="s">
        <v>11</v>
      </c>
      <c r="E64" s="3" t="s">
        <v>19</v>
      </c>
      <c r="F64" s="2">
        <v>1</v>
      </c>
      <c r="G64" s="2">
        <v>15</v>
      </c>
    </row>
    <row r="65" spans="1:7" x14ac:dyDescent="0.35">
      <c r="A65" s="2">
        <v>5</v>
      </c>
      <c r="B65" s="2" t="s">
        <v>40</v>
      </c>
      <c r="C65" s="3" t="s">
        <v>20</v>
      </c>
      <c r="D65" s="3" t="s">
        <v>21</v>
      </c>
      <c r="E65" s="3" t="s">
        <v>22</v>
      </c>
      <c r="F65" s="2">
        <v>1</v>
      </c>
      <c r="G65" s="2">
        <v>10</v>
      </c>
    </row>
    <row r="66" spans="1:7" x14ac:dyDescent="0.35">
      <c r="A66" s="2">
        <v>5</v>
      </c>
      <c r="B66" s="2" t="s">
        <v>40</v>
      </c>
      <c r="C66" s="3" t="s">
        <v>20</v>
      </c>
      <c r="D66" s="3" t="s">
        <v>23</v>
      </c>
      <c r="E66" s="3" t="s">
        <v>24</v>
      </c>
      <c r="F66" s="2">
        <v>1</v>
      </c>
      <c r="G66" s="2">
        <v>10</v>
      </c>
    </row>
    <row r="67" spans="1:7" x14ac:dyDescent="0.35">
      <c r="A67" s="2">
        <v>5</v>
      </c>
      <c r="B67" s="2" t="s">
        <v>40</v>
      </c>
      <c r="C67" s="3" t="s">
        <v>20</v>
      </c>
      <c r="D67" s="3" t="s">
        <v>25</v>
      </c>
      <c r="E67" s="3" t="s">
        <v>26</v>
      </c>
      <c r="F67" s="2">
        <v>1</v>
      </c>
      <c r="G67" s="2">
        <v>15</v>
      </c>
    </row>
    <row r="68" spans="1:7" x14ac:dyDescent="0.35">
      <c r="A68" s="2">
        <v>5</v>
      </c>
      <c r="B68" s="2" t="s">
        <v>40</v>
      </c>
      <c r="C68" s="3" t="s">
        <v>20</v>
      </c>
      <c r="D68" s="3" t="s">
        <v>27</v>
      </c>
      <c r="E68" s="3" t="s">
        <v>24</v>
      </c>
      <c r="F68" s="2">
        <v>1</v>
      </c>
      <c r="G68" s="2">
        <v>10</v>
      </c>
    </row>
    <row r="69" spans="1:7" x14ac:dyDescent="0.35">
      <c r="A69" s="2">
        <v>5</v>
      </c>
      <c r="B69" s="2" t="s">
        <v>40</v>
      </c>
      <c r="C69" s="3" t="s">
        <v>20</v>
      </c>
      <c r="D69" s="3" t="s">
        <v>28</v>
      </c>
      <c r="E69" s="3" t="s">
        <v>24</v>
      </c>
      <c r="F69" s="2">
        <v>1</v>
      </c>
      <c r="G69" s="2">
        <v>10</v>
      </c>
    </row>
    <row r="70" spans="1:7" x14ac:dyDescent="0.35">
      <c r="A70" s="4">
        <v>6</v>
      </c>
      <c r="B70" s="4" t="s">
        <v>41</v>
      </c>
      <c r="C70" s="5" t="s">
        <v>10</v>
      </c>
      <c r="D70" s="5" t="s">
        <v>11</v>
      </c>
      <c r="E70" s="5" t="s">
        <v>12</v>
      </c>
      <c r="F70" s="4">
        <v>1</v>
      </c>
      <c r="G70" s="4">
        <v>15</v>
      </c>
    </row>
    <row r="71" spans="1:7" x14ac:dyDescent="0.35">
      <c r="A71" s="4">
        <v>6</v>
      </c>
      <c r="B71" s="4" t="s">
        <v>41</v>
      </c>
      <c r="C71" s="5" t="s">
        <v>13</v>
      </c>
      <c r="D71" s="5" t="s">
        <v>14</v>
      </c>
      <c r="E71" s="5" t="s">
        <v>15</v>
      </c>
      <c r="F71" s="4">
        <v>1</v>
      </c>
      <c r="G71" s="4">
        <v>10</v>
      </c>
    </row>
    <row r="72" spans="1:7" x14ac:dyDescent="0.35">
      <c r="A72" s="4">
        <v>6</v>
      </c>
      <c r="B72" s="4" t="s">
        <v>41</v>
      </c>
      <c r="C72" s="5" t="s">
        <v>13</v>
      </c>
      <c r="D72" s="5" t="s">
        <v>16</v>
      </c>
      <c r="E72" s="5" t="s">
        <v>15</v>
      </c>
      <c r="F72" s="4">
        <v>1</v>
      </c>
      <c r="G72" s="4">
        <v>10</v>
      </c>
    </row>
    <row r="73" spans="1:7" x14ac:dyDescent="0.35">
      <c r="A73" s="4">
        <v>6</v>
      </c>
      <c r="B73" s="4" t="s">
        <v>41</v>
      </c>
      <c r="C73" s="5" t="s">
        <v>17</v>
      </c>
      <c r="D73" s="5" t="s">
        <v>14</v>
      </c>
      <c r="E73" s="5" t="s">
        <v>18</v>
      </c>
      <c r="F73" s="4">
        <v>1</v>
      </c>
      <c r="G73" s="4">
        <v>20</v>
      </c>
    </row>
    <row r="74" spans="1:7" x14ac:dyDescent="0.35">
      <c r="A74" s="4">
        <v>6</v>
      </c>
      <c r="B74" s="4" t="s">
        <v>41</v>
      </c>
      <c r="C74" s="5" t="s">
        <v>17</v>
      </c>
      <c r="D74" s="5" t="s">
        <v>16</v>
      </c>
      <c r="E74" s="5" t="s">
        <v>18</v>
      </c>
      <c r="F74" s="4">
        <v>1</v>
      </c>
      <c r="G74" s="4">
        <v>20</v>
      </c>
    </row>
    <row r="75" spans="1:7" x14ac:dyDescent="0.35">
      <c r="A75" s="4">
        <v>6</v>
      </c>
      <c r="B75" s="4" t="s">
        <v>41</v>
      </c>
      <c r="C75" s="5" t="s">
        <v>17</v>
      </c>
      <c r="D75" s="5" t="s">
        <v>11</v>
      </c>
      <c r="E75" s="5" t="s">
        <v>19</v>
      </c>
      <c r="F75" s="4">
        <v>1</v>
      </c>
      <c r="G75" s="4">
        <v>15</v>
      </c>
    </row>
    <row r="76" spans="1:7" ht="25" x14ac:dyDescent="0.35">
      <c r="A76" s="4">
        <v>6</v>
      </c>
      <c r="B76" s="4" t="s">
        <v>41</v>
      </c>
      <c r="C76" s="5" t="s">
        <v>17</v>
      </c>
      <c r="D76" s="5" t="s">
        <v>30</v>
      </c>
      <c r="E76" s="5" t="s">
        <v>31</v>
      </c>
      <c r="F76" s="4">
        <v>1</v>
      </c>
      <c r="G76" s="4">
        <v>15</v>
      </c>
    </row>
    <row r="77" spans="1:7" x14ac:dyDescent="0.35">
      <c r="A77" s="4">
        <v>6</v>
      </c>
      <c r="B77" s="4" t="s">
        <v>41</v>
      </c>
      <c r="C77" s="5" t="s">
        <v>20</v>
      </c>
      <c r="D77" s="5" t="s">
        <v>32</v>
      </c>
      <c r="E77" s="5" t="s">
        <v>22</v>
      </c>
      <c r="F77" s="4">
        <v>1</v>
      </c>
      <c r="G77" s="4">
        <v>15</v>
      </c>
    </row>
    <row r="78" spans="1:7" x14ac:dyDescent="0.35">
      <c r="A78" s="4">
        <v>6</v>
      </c>
      <c r="B78" s="4" t="s">
        <v>41</v>
      </c>
      <c r="C78" s="5" t="s">
        <v>20</v>
      </c>
      <c r="D78" s="5" t="s">
        <v>33</v>
      </c>
      <c r="E78" s="5" t="s">
        <v>22</v>
      </c>
      <c r="F78" s="4">
        <v>1</v>
      </c>
      <c r="G78" s="4">
        <v>15</v>
      </c>
    </row>
    <row r="79" spans="1:7" x14ac:dyDescent="0.35">
      <c r="A79" s="4">
        <v>6</v>
      </c>
      <c r="B79" s="4" t="s">
        <v>41</v>
      </c>
      <c r="C79" s="5" t="s">
        <v>20</v>
      </c>
      <c r="D79" s="5" t="s">
        <v>21</v>
      </c>
      <c r="E79" s="5" t="s">
        <v>22</v>
      </c>
      <c r="F79" s="4">
        <v>1</v>
      </c>
      <c r="G79" s="4">
        <v>10</v>
      </c>
    </row>
    <row r="80" spans="1:7" x14ac:dyDescent="0.35">
      <c r="A80" s="4">
        <v>6</v>
      </c>
      <c r="B80" s="4" t="s">
        <v>41</v>
      </c>
      <c r="C80" s="5" t="s">
        <v>20</v>
      </c>
      <c r="D80" s="5" t="s">
        <v>34</v>
      </c>
      <c r="E80" s="5" t="s">
        <v>35</v>
      </c>
      <c r="F80" s="4">
        <v>1</v>
      </c>
      <c r="G80" s="4">
        <v>10</v>
      </c>
    </row>
    <row r="81" spans="1:7" x14ac:dyDescent="0.35">
      <c r="A81" s="4">
        <v>6</v>
      </c>
      <c r="B81" s="4" t="s">
        <v>41</v>
      </c>
      <c r="C81" s="5" t="s">
        <v>20</v>
      </c>
      <c r="D81" s="5" t="s">
        <v>23</v>
      </c>
      <c r="E81" s="5" t="s">
        <v>24</v>
      </c>
      <c r="F81" s="4">
        <v>1</v>
      </c>
      <c r="G81" s="4">
        <v>10</v>
      </c>
    </row>
    <row r="82" spans="1:7" x14ac:dyDescent="0.35">
      <c r="A82" s="4">
        <v>6</v>
      </c>
      <c r="B82" s="4" t="s">
        <v>41</v>
      </c>
      <c r="C82" s="5" t="s">
        <v>20</v>
      </c>
      <c r="D82" s="5" t="s">
        <v>25</v>
      </c>
      <c r="E82" s="5" t="s">
        <v>26</v>
      </c>
      <c r="F82" s="4">
        <v>1</v>
      </c>
      <c r="G82" s="4">
        <v>15</v>
      </c>
    </row>
    <row r="83" spans="1:7" x14ac:dyDescent="0.35">
      <c r="A83" s="4">
        <v>6</v>
      </c>
      <c r="B83" s="4" t="s">
        <v>41</v>
      </c>
      <c r="C83" s="5" t="s">
        <v>20</v>
      </c>
      <c r="D83" s="5" t="s">
        <v>27</v>
      </c>
      <c r="E83" s="5" t="s">
        <v>24</v>
      </c>
      <c r="F83" s="4">
        <v>1</v>
      </c>
      <c r="G83" s="4">
        <v>10</v>
      </c>
    </row>
    <row r="84" spans="1:7" x14ac:dyDescent="0.35">
      <c r="A84" s="4">
        <v>6</v>
      </c>
      <c r="B84" s="4" t="s">
        <v>41</v>
      </c>
      <c r="C84" s="5" t="s">
        <v>20</v>
      </c>
      <c r="D84" s="5" t="s">
        <v>28</v>
      </c>
      <c r="E84" s="5" t="s">
        <v>24</v>
      </c>
      <c r="F84" s="4">
        <v>1</v>
      </c>
      <c r="G84" s="4">
        <v>10</v>
      </c>
    </row>
    <row r="85" spans="1:7" x14ac:dyDescent="0.35">
      <c r="A85" s="4">
        <v>6</v>
      </c>
      <c r="B85" s="4" t="s">
        <v>41</v>
      </c>
      <c r="C85" s="5" t="s">
        <v>20</v>
      </c>
      <c r="D85" s="5" t="s">
        <v>37</v>
      </c>
      <c r="E85" s="5" t="s">
        <v>22</v>
      </c>
      <c r="F85" s="4">
        <v>1</v>
      </c>
      <c r="G85" s="4">
        <v>15</v>
      </c>
    </row>
    <row r="86" spans="1:7" x14ac:dyDescent="0.35">
      <c r="A86" s="4">
        <v>6</v>
      </c>
      <c r="B86" s="4" t="s">
        <v>41</v>
      </c>
      <c r="C86" s="5" t="s">
        <v>20</v>
      </c>
      <c r="D86" s="5" t="s">
        <v>38</v>
      </c>
      <c r="E86" s="5" t="s">
        <v>35</v>
      </c>
      <c r="F86" s="4">
        <v>1</v>
      </c>
      <c r="G86" s="4">
        <v>10</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1"/>
  <sheetViews>
    <sheetView workbookViewId="0">
      <pane xSplit="3" ySplit="4" topLeftCell="D9" activePane="bottomRight" state="frozen"/>
      <selection pane="topRight"/>
      <selection pane="bottomLeft"/>
      <selection pane="bottomRight" activeCell="E9" sqref="E9"/>
    </sheetView>
  </sheetViews>
  <sheetFormatPr defaultRowHeight="14.5" x14ac:dyDescent="0.35"/>
  <cols>
    <col min="1" max="1" width="35" customWidth="1"/>
    <col min="2" max="2" width="14.453125" customWidth="1"/>
    <col min="3" max="3" width="6.81640625" customWidth="1"/>
    <col min="4" max="9" width="18" customWidth="1"/>
  </cols>
  <sheetData>
    <row r="1" spans="1:9" ht="18" x14ac:dyDescent="0.4">
      <c r="A1" s="36" t="s">
        <v>42</v>
      </c>
      <c r="B1" s="37"/>
      <c r="C1" s="37"/>
      <c r="D1" s="37"/>
      <c r="E1" s="37"/>
      <c r="F1" s="37"/>
      <c r="G1" s="37"/>
      <c r="H1" s="37"/>
      <c r="I1" s="37"/>
    </row>
    <row r="2" spans="1:9" x14ac:dyDescent="0.35">
      <c r="A2" s="33" t="s">
        <v>43</v>
      </c>
      <c r="B2" s="34"/>
      <c r="C2" s="34"/>
      <c r="D2" s="34"/>
      <c r="E2" s="34"/>
      <c r="F2" s="34"/>
      <c r="G2" s="34"/>
      <c r="H2" s="34"/>
      <c r="I2" s="35"/>
    </row>
    <row r="4" spans="1:9" ht="34" customHeight="1" x14ac:dyDescent="0.35">
      <c r="A4" s="15" t="s">
        <v>44</v>
      </c>
      <c r="B4" s="15" t="s">
        <v>4</v>
      </c>
      <c r="C4" s="15" t="s">
        <v>45</v>
      </c>
      <c r="D4" s="15" t="s">
        <v>46</v>
      </c>
      <c r="E4" s="15" t="s">
        <v>47</v>
      </c>
      <c r="F4" s="15" t="s">
        <v>48</v>
      </c>
      <c r="G4" s="15" t="s">
        <v>49</v>
      </c>
      <c r="H4" s="15" t="s">
        <v>50</v>
      </c>
      <c r="I4" s="15" t="s">
        <v>51</v>
      </c>
    </row>
    <row r="5" spans="1:9" ht="36" customHeight="1" x14ac:dyDescent="0.35">
      <c r="A5" s="16" t="s">
        <v>52</v>
      </c>
      <c r="B5" s="17" t="s">
        <v>13</v>
      </c>
      <c r="C5" s="17" t="s">
        <v>53</v>
      </c>
      <c r="D5" s="18"/>
      <c r="E5" s="18"/>
      <c r="F5" s="18"/>
      <c r="G5" s="18"/>
      <c r="H5" s="18"/>
      <c r="I5" s="18"/>
    </row>
    <row r="6" spans="1:9" ht="36" customHeight="1" x14ac:dyDescent="0.35">
      <c r="A6" s="16" t="s">
        <v>54</v>
      </c>
      <c r="B6" s="17" t="s">
        <v>17</v>
      </c>
      <c r="C6" s="17" t="s">
        <v>55</v>
      </c>
      <c r="D6" s="18"/>
      <c r="E6" s="18"/>
      <c r="F6" s="18"/>
      <c r="G6" s="18"/>
      <c r="H6" s="18"/>
      <c r="I6" s="18"/>
    </row>
    <row r="7" spans="1:9" ht="36" customHeight="1" x14ac:dyDescent="0.35">
      <c r="A7" s="16" t="s">
        <v>56</v>
      </c>
      <c r="B7" s="17" t="s">
        <v>13</v>
      </c>
      <c r="C7" s="17" t="s">
        <v>53</v>
      </c>
      <c r="D7" s="18"/>
      <c r="E7" s="18"/>
      <c r="F7" s="18"/>
      <c r="G7" s="18"/>
      <c r="H7" s="18"/>
      <c r="I7" s="18"/>
    </row>
    <row r="8" spans="1:9" ht="36" customHeight="1" x14ac:dyDescent="0.35">
      <c r="A8" s="16" t="s">
        <v>57</v>
      </c>
      <c r="B8" s="17" t="s">
        <v>17</v>
      </c>
      <c r="C8" s="17" t="s">
        <v>55</v>
      </c>
      <c r="D8" s="18"/>
      <c r="E8" s="18"/>
      <c r="F8" s="18"/>
      <c r="G8" s="18"/>
      <c r="H8" s="18"/>
      <c r="I8" s="18"/>
    </row>
    <row r="9" spans="1:9" ht="36" customHeight="1" x14ac:dyDescent="0.35">
      <c r="A9" s="16" t="s">
        <v>58</v>
      </c>
      <c r="B9" s="17" t="s">
        <v>10</v>
      </c>
      <c r="C9" s="17" t="s">
        <v>59</v>
      </c>
      <c r="D9" s="18"/>
      <c r="E9" s="18"/>
      <c r="F9" s="18"/>
      <c r="G9" s="18"/>
      <c r="H9" s="18"/>
      <c r="I9" s="18"/>
    </row>
    <row r="10" spans="1:9" ht="36" customHeight="1" x14ac:dyDescent="0.35">
      <c r="A10" s="16" t="s">
        <v>60</v>
      </c>
      <c r="B10" s="17" t="s">
        <v>17</v>
      </c>
      <c r="C10" s="17" t="s">
        <v>59</v>
      </c>
      <c r="D10" s="18"/>
      <c r="E10" s="18"/>
      <c r="F10" s="18"/>
      <c r="G10" s="18"/>
      <c r="H10" s="18"/>
      <c r="I10" s="18"/>
    </row>
    <row r="11" spans="1:9" ht="36" customHeight="1" x14ac:dyDescent="0.35">
      <c r="A11" s="16" t="s">
        <v>61</v>
      </c>
      <c r="B11" s="17" t="s">
        <v>20</v>
      </c>
      <c r="C11" s="17" t="s">
        <v>59</v>
      </c>
      <c r="D11" s="19" t="s">
        <v>62</v>
      </c>
      <c r="E11" s="18"/>
      <c r="F11" s="19" t="s">
        <v>62</v>
      </c>
      <c r="G11" s="18"/>
      <c r="H11" s="19" t="s">
        <v>62</v>
      </c>
      <c r="I11" s="18"/>
    </row>
    <row r="12" spans="1:9" ht="36" customHeight="1" x14ac:dyDescent="0.35">
      <c r="A12" s="16" t="s">
        <v>63</v>
      </c>
      <c r="B12" s="17" t="s">
        <v>20</v>
      </c>
      <c r="C12" s="17" t="s">
        <v>59</v>
      </c>
      <c r="D12" s="19" t="s">
        <v>62</v>
      </c>
      <c r="E12" s="18"/>
      <c r="F12" s="19" t="s">
        <v>62</v>
      </c>
      <c r="G12" s="18"/>
      <c r="H12" s="19" t="s">
        <v>62</v>
      </c>
      <c r="I12" s="18"/>
    </row>
    <row r="13" spans="1:9" ht="36" customHeight="1" x14ac:dyDescent="0.35">
      <c r="A13" s="16" t="s">
        <v>64</v>
      </c>
      <c r="B13" s="17" t="s">
        <v>20</v>
      </c>
      <c r="C13" s="17" t="s">
        <v>53</v>
      </c>
      <c r="D13" s="18"/>
      <c r="E13" s="18"/>
      <c r="F13" s="18"/>
      <c r="G13" s="18"/>
      <c r="H13" s="18"/>
      <c r="I13" s="18"/>
    </row>
    <row r="14" spans="1:9" ht="36" customHeight="1" x14ac:dyDescent="0.35">
      <c r="A14" s="16" t="s">
        <v>65</v>
      </c>
      <c r="B14" s="17" t="s">
        <v>20</v>
      </c>
      <c r="C14" s="17" t="s">
        <v>53</v>
      </c>
      <c r="D14" s="19" t="s">
        <v>62</v>
      </c>
      <c r="E14" s="18"/>
      <c r="F14" s="19" t="s">
        <v>62</v>
      </c>
      <c r="G14" s="18"/>
      <c r="H14" s="19" t="s">
        <v>62</v>
      </c>
      <c r="I14" s="18"/>
    </row>
    <row r="15" spans="1:9" ht="36" customHeight="1" x14ac:dyDescent="0.35">
      <c r="A15" s="16" t="s">
        <v>66</v>
      </c>
      <c r="B15" s="17" t="s">
        <v>20</v>
      </c>
      <c r="C15" s="17" t="s">
        <v>53</v>
      </c>
      <c r="D15" s="18"/>
      <c r="E15" s="18"/>
      <c r="F15" s="18"/>
      <c r="G15" s="18"/>
      <c r="H15" s="18"/>
      <c r="I15" s="18"/>
    </row>
    <row r="16" spans="1:9" ht="36" customHeight="1" x14ac:dyDescent="0.35">
      <c r="A16" s="16" t="s">
        <v>67</v>
      </c>
      <c r="B16" s="17" t="s">
        <v>20</v>
      </c>
      <c r="C16" s="17" t="s">
        <v>59</v>
      </c>
      <c r="D16" s="18"/>
      <c r="E16" s="18"/>
      <c r="F16" s="18"/>
      <c r="G16" s="18"/>
      <c r="H16" s="18"/>
      <c r="I16" s="18"/>
    </row>
    <row r="17" spans="1:9" ht="36" customHeight="1" x14ac:dyDescent="0.35">
      <c r="A17" s="16" t="s">
        <v>68</v>
      </c>
      <c r="B17" s="17" t="s">
        <v>20</v>
      </c>
      <c r="C17" s="17" t="s">
        <v>53</v>
      </c>
      <c r="D17" s="18"/>
      <c r="E17" s="18"/>
      <c r="F17" s="18"/>
      <c r="G17" s="18"/>
      <c r="H17" s="18"/>
      <c r="I17" s="18"/>
    </row>
    <row r="18" spans="1:9" ht="36" customHeight="1" x14ac:dyDescent="0.35">
      <c r="A18" s="16" t="s">
        <v>69</v>
      </c>
      <c r="B18" s="17" t="s">
        <v>20</v>
      </c>
      <c r="C18" s="17" t="s">
        <v>53</v>
      </c>
      <c r="D18" s="18"/>
      <c r="E18" s="18"/>
      <c r="F18" s="18"/>
      <c r="G18" s="18"/>
      <c r="H18" s="18"/>
      <c r="I18" s="18"/>
    </row>
    <row r="19" spans="1:9" ht="36" customHeight="1" x14ac:dyDescent="0.35">
      <c r="A19" s="16" t="s">
        <v>70</v>
      </c>
      <c r="B19" s="17" t="s">
        <v>20</v>
      </c>
      <c r="C19" s="17" t="s">
        <v>59</v>
      </c>
      <c r="D19" s="19" t="s">
        <v>62</v>
      </c>
      <c r="E19" s="19" t="s">
        <v>62</v>
      </c>
      <c r="F19" s="18"/>
      <c r="G19" s="19" t="s">
        <v>62</v>
      </c>
      <c r="H19" s="19" t="s">
        <v>62</v>
      </c>
      <c r="I19" s="18"/>
    </row>
    <row r="20" spans="1:9" ht="36" customHeight="1" x14ac:dyDescent="0.35">
      <c r="A20" s="16" t="s">
        <v>71</v>
      </c>
      <c r="B20" s="17" t="s">
        <v>20</v>
      </c>
      <c r="C20" s="17" t="s">
        <v>53</v>
      </c>
      <c r="D20" s="19" t="s">
        <v>62</v>
      </c>
      <c r="E20" s="19" t="s">
        <v>62</v>
      </c>
      <c r="F20" s="18"/>
      <c r="G20" s="19" t="s">
        <v>62</v>
      </c>
      <c r="H20" s="19" t="s">
        <v>62</v>
      </c>
      <c r="I20" s="18"/>
    </row>
    <row r="21" spans="1:9" ht="36" customHeight="1" x14ac:dyDescent="0.35">
      <c r="A21" s="16" t="s">
        <v>72</v>
      </c>
      <c r="B21" s="17" t="s">
        <v>17</v>
      </c>
      <c r="C21" s="17" t="s">
        <v>59</v>
      </c>
      <c r="D21" s="19" t="s">
        <v>62</v>
      </c>
      <c r="E21" s="18"/>
      <c r="F21" s="19" t="s">
        <v>62</v>
      </c>
      <c r="G21" s="18"/>
      <c r="H21" s="19" t="s">
        <v>62</v>
      </c>
      <c r="I21" s="18"/>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workbookViewId="0">
      <pane xSplit="2" ySplit="4" topLeftCell="C14" activePane="bottomRight" state="frozen"/>
      <selection pane="topRight"/>
      <selection pane="bottomLeft"/>
      <selection pane="bottomRight" activeCell="G21" sqref="G21"/>
    </sheetView>
  </sheetViews>
  <sheetFormatPr defaultRowHeight="14.5" x14ac:dyDescent="0.35"/>
  <cols>
    <col min="1" max="1" width="36" style="22" customWidth="1"/>
    <col min="2" max="2" width="8" style="22" customWidth="1"/>
    <col min="3" max="8" width="18" customWidth="1"/>
  </cols>
  <sheetData>
    <row r="1" spans="1:8" ht="18" x14ac:dyDescent="0.4">
      <c r="A1" s="36" t="s">
        <v>73</v>
      </c>
      <c r="B1" s="37"/>
      <c r="C1" s="37"/>
      <c r="D1" s="37"/>
      <c r="E1" s="37"/>
      <c r="F1" s="37"/>
      <c r="G1" s="37"/>
      <c r="H1" s="37"/>
    </row>
    <row r="2" spans="1:8" x14ac:dyDescent="0.35">
      <c r="A2" s="33" t="s">
        <v>74</v>
      </c>
      <c r="B2" s="34"/>
      <c r="C2" s="34"/>
      <c r="D2" s="34"/>
      <c r="E2" s="34"/>
      <c r="F2" s="34"/>
      <c r="G2" s="34"/>
      <c r="H2" s="35"/>
    </row>
    <row r="4" spans="1:8" ht="34" customHeight="1" x14ac:dyDescent="0.35">
      <c r="A4" s="20" t="s">
        <v>44</v>
      </c>
      <c r="B4" s="20" t="s">
        <v>45</v>
      </c>
      <c r="C4" s="20" t="s">
        <v>46</v>
      </c>
      <c r="D4" s="20" t="s">
        <v>47</v>
      </c>
      <c r="E4" s="20" t="s">
        <v>48</v>
      </c>
      <c r="F4" s="20" t="s">
        <v>49</v>
      </c>
      <c r="G4" s="20" t="s">
        <v>50</v>
      </c>
      <c r="H4" s="20" t="s">
        <v>51</v>
      </c>
    </row>
    <row r="5" spans="1:8" ht="42" customHeight="1" x14ac:dyDescent="0.35">
      <c r="A5" s="16" t="s">
        <v>52</v>
      </c>
      <c r="B5" s="17" t="s">
        <v>53</v>
      </c>
      <c r="C5" s="21" t="s">
        <v>13</v>
      </c>
      <c r="D5" s="21" t="s">
        <v>13</v>
      </c>
      <c r="E5" s="21" t="s">
        <v>13</v>
      </c>
      <c r="F5" s="21" t="s">
        <v>13</v>
      </c>
      <c r="G5" s="21" t="s">
        <v>13</v>
      </c>
      <c r="H5" s="21" t="s">
        <v>13</v>
      </c>
    </row>
    <row r="6" spans="1:8" ht="42" customHeight="1" x14ac:dyDescent="0.35">
      <c r="A6" s="16" t="s">
        <v>54</v>
      </c>
      <c r="B6" s="17" t="s">
        <v>55</v>
      </c>
      <c r="C6" s="21" t="s">
        <v>17</v>
      </c>
      <c r="D6" s="21" t="s">
        <v>17</v>
      </c>
      <c r="E6" s="21" t="s">
        <v>17</v>
      </c>
      <c r="F6" s="21" t="s">
        <v>17</v>
      </c>
      <c r="G6" s="21" t="s">
        <v>17</v>
      </c>
      <c r="H6" s="21" t="s">
        <v>17</v>
      </c>
    </row>
    <row r="7" spans="1:8" ht="42" customHeight="1" x14ac:dyDescent="0.35">
      <c r="A7" s="16" t="s">
        <v>56</v>
      </c>
      <c r="B7" s="17" t="s">
        <v>53</v>
      </c>
      <c r="C7" s="21" t="s">
        <v>13</v>
      </c>
      <c r="D7" s="21" t="s">
        <v>13</v>
      </c>
      <c r="E7" s="21" t="s">
        <v>13</v>
      </c>
      <c r="F7" s="21" t="s">
        <v>13</v>
      </c>
      <c r="G7" s="21" t="s">
        <v>13</v>
      </c>
      <c r="H7" s="21" t="s">
        <v>13</v>
      </c>
    </row>
    <row r="8" spans="1:8" ht="42" customHeight="1" x14ac:dyDescent="0.35">
      <c r="A8" s="16" t="s">
        <v>57</v>
      </c>
      <c r="B8" s="17" t="s">
        <v>55</v>
      </c>
      <c r="C8" s="21" t="s">
        <v>17</v>
      </c>
      <c r="D8" s="21" t="s">
        <v>17</v>
      </c>
      <c r="E8" s="21" t="s">
        <v>17</v>
      </c>
      <c r="F8" s="21" t="s">
        <v>17</v>
      </c>
      <c r="G8" s="21" t="s">
        <v>17</v>
      </c>
      <c r="H8" s="21" t="s">
        <v>17</v>
      </c>
    </row>
    <row r="9" spans="1:8" ht="42" customHeight="1" x14ac:dyDescent="0.35">
      <c r="A9" s="16" t="s">
        <v>58</v>
      </c>
      <c r="B9" s="17" t="s">
        <v>59</v>
      </c>
      <c r="C9" s="21" t="s">
        <v>10</v>
      </c>
      <c r="D9" s="21" t="s">
        <v>10</v>
      </c>
      <c r="E9" s="21" t="s">
        <v>10</v>
      </c>
      <c r="F9" s="21" t="s">
        <v>10</v>
      </c>
      <c r="G9" s="21" t="s">
        <v>10</v>
      </c>
      <c r="H9" s="21" t="s">
        <v>10</v>
      </c>
    </row>
    <row r="10" spans="1:8" ht="42" customHeight="1" x14ac:dyDescent="0.35">
      <c r="A10" s="16" t="s">
        <v>60</v>
      </c>
      <c r="B10" s="17" t="s">
        <v>59</v>
      </c>
      <c r="C10" s="21" t="s">
        <v>17</v>
      </c>
      <c r="D10" s="21" t="s">
        <v>17</v>
      </c>
      <c r="E10" s="21" t="s">
        <v>17</v>
      </c>
      <c r="F10" s="21" t="s">
        <v>17</v>
      </c>
      <c r="G10" s="21" t="s">
        <v>17</v>
      </c>
      <c r="H10" s="21" t="s">
        <v>17</v>
      </c>
    </row>
    <row r="11" spans="1:8" ht="42" customHeight="1" x14ac:dyDescent="0.35">
      <c r="A11" s="16" t="s">
        <v>61</v>
      </c>
      <c r="B11" s="17" t="s">
        <v>59</v>
      </c>
      <c r="C11" s="23" t="s">
        <v>62</v>
      </c>
      <c r="D11" s="21"/>
      <c r="E11" s="23" t="s">
        <v>62</v>
      </c>
      <c r="F11" s="21"/>
      <c r="G11" s="23" t="s">
        <v>62</v>
      </c>
      <c r="H11" s="21"/>
    </row>
    <row r="12" spans="1:8" ht="42" customHeight="1" x14ac:dyDescent="0.35">
      <c r="A12" s="16" t="s">
        <v>63</v>
      </c>
      <c r="B12" s="17" t="s">
        <v>59</v>
      </c>
      <c r="C12" s="23" t="s">
        <v>62</v>
      </c>
      <c r="D12" s="21"/>
      <c r="E12" s="23" t="s">
        <v>62</v>
      </c>
      <c r="F12" s="21"/>
      <c r="G12" s="23" t="s">
        <v>62</v>
      </c>
      <c r="H12" s="21"/>
    </row>
    <row r="13" spans="1:8" ht="42" customHeight="1" x14ac:dyDescent="0.35">
      <c r="A13" s="16" t="s">
        <v>64</v>
      </c>
      <c r="B13" s="17" t="s">
        <v>53</v>
      </c>
      <c r="C13" s="21"/>
      <c r="D13" s="21"/>
      <c r="E13" s="21"/>
      <c r="F13" s="21"/>
      <c r="G13" s="21"/>
      <c r="H13" s="21"/>
    </row>
    <row r="14" spans="1:8" ht="42" customHeight="1" x14ac:dyDescent="0.35">
      <c r="A14" s="16" t="s">
        <v>65</v>
      </c>
      <c r="B14" s="17" t="s">
        <v>53</v>
      </c>
      <c r="C14" s="23" t="s">
        <v>62</v>
      </c>
      <c r="D14" s="21"/>
      <c r="E14" s="23" t="s">
        <v>62</v>
      </c>
      <c r="F14" s="21"/>
      <c r="G14" s="23" t="s">
        <v>62</v>
      </c>
      <c r="H14" s="21"/>
    </row>
    <row r="15" spans="1:8" ht="42" customHeight="1" x14ac:dyDescent="0.35">
      <c r="A15" s="16" t="s">
        <v>66</v>
      </c>
      <c r="B15" s="17" t="s">
        <v>53</v>
      </c>
      <c r="C15" s="21"/>
      <c r="D15" s="21"/>
      <c r="E15" s="21"/>
      <c r="F15" s="21"/>
      <c r="G15" s="21"/>
      <c r="H15" s="21"/>
    </row>
    <row r="16" spans="1:8" ht="42" customHeight="1" x14ac:dyDescent="0.35">
      <c r="A16" s="16" t="s">
        <v>67</v>
      </c>
      <c r="B16" s="17" t="s">
        <v>59</v>
      </c>
      <c r="C16" s="21"/>
      <c r="D16" s="21"/>
      <c r="E16" s="21"/>
      <c r="F16" s="21"/>
      <c r="G16" s="21"/>
      <c r="H16" s="21"/>
    </row>
    <row r="17" spans="1:8" ht="42" customHeight="1" x14ac:dyDescent="0.35">
      <c r="A17" s="16" t="s">
        <v>68</v>
      </c>
      <c r="B17" s="17" t="s">
        <v>53</v>
      </c>
      <c r="C17" s="21"/>
      <c r="D17" s="21"/>
      <c r="E17" s="21"/>
      <c r="F17" s="21"/>
      <c r="G17" s="21"/>
      <c r="H17" s="21"/>
    </row>
    <row r="18" spans="1:8" ht="42" customHeight="1" x14ac:dyDescent="0.35">
      <c r="A18" s="16" t="s">
        <v>69</v>
      </c>
      <c r="B18" s="17" t="s">
        <v>53</v>
      </c>
      <c r="C18" s="21"/>
      <c r="D18" s="21"/>
      <c r="E18" s="21"/>
      <c r="F18" s="21"/>
      <c r="G18" s="21"/>
      <c r="H18" s="21"/>
    </row>
    <row r="19" spans="1:8" ht="42" customHeight="1" x14ac:dyDescent="0.35">
      <c r="A19" s="16" t="s">
        <v>70</v>
      </c>
      <c r="B19" s="17" t="s">
        <v>59</v>
      </c>
      <c r="C19" s="23" t="s">
        <v>62</v>
      </c>
      <c r="D19" s="23" t="s">
        <v>62</v>
      </c>
      <c r="E19" s="21"/>
      <c r="F19" s="23" t="s">
        <v>62</v>
      </c>
      <c r="G19" s="23" t="s">
        <v>62</v>
      </c>
      <c r="H19" s="21"/>
    </row>
    <row r="20" spans="1:8" ht="42" customHeight="1" x14ac:dyDescent="0.35">
      <c r="A20" s="16" t="s">
        <v>71</v>
      </c>
      <c r="B20" s="17" t="s">
        <v>53</v>
      </c>
      <c r="C20" s="23" t="s">
        <v>62</v>
      </c>
      <c r="D20" s="23" t="s">
        <v>62</v>
      </c>
      <c r="E20" s="21"/>
      <c r="F20" s="23" t="s">
        <v>62</v>
      </c>
      <c r="G20" s="23" t="s">
        <v>62</v>
      </c>
      <c r="H20" s="21"/>
    </row>
    <row r="21" spans="1:8" ht="42" customHeight="1" x14ac:dyDescent="0.35">
      <c r="A21" s="16" t="s">
        <v>72</v>
      </c>
      <c r="B21" s="17" t="s">
        <v>59</v>
      </c>
      <c r="C21" s="23" t="s">
        <v>62</v>
      </c>
      <c r="D21" s="21" t="s">
        <v>17</v>
      </c>
      <c r="E21" s="23" t="s">
        <v>62</v>
      </c>
      <c r="F21" s="21" t="s">
        <v>17</v>
      </c>
      <c r="G21" s="23" t="s">
        <v>62</v>
      </c>
      <c r="H21" s="21" t="s">
        <v>17</v>
      </c>
    </row>
  </sheetData>
  <mergeCells count="2">
    <mergeCell ref="A2:H2"/>
    <mergeCell ref="A1:H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C989D-E9BE-4079-80B6-91493E8B8E9D}">
  <sheetPr>
    <pageSetUpPr fitToPage="1"/>
  </sheetPr>
  <dimension ref="A1:M19"/>
  <sheetViews>
    <sheetView tabSelected="1" workbookViewId="0">
      <selection activeCell="C5" sqref="C5"/>
    </sheetView>
  </sheetViews>
  <sheetFormatPr defaultRowHeight="15.5" x14ac:dyDescent="0.35"/>
  <cols>
    <col min="1" max="1" width="22.36328125" style="24" customWidth="1"/>
    <col min="2" max="7" width="24.6328125" style="25" customWidth="1"/>
    <col min="8" max="8" width="22.36328125" style="24" customWidth="1"/>
    <col min="9" max="9" width="5.90625" style="25" customWidth="1"/>
    <col min="10" max="10" width="6.1796875" style="24" customWidth="1"/>
    <col min="11" max="11" width="22.36328125" style="43" customWidth="1"/>
    <col min="12" max="13" width="8.7265625" style="24"/>
    <col min="14" max="16384" width="8.7265625" style="25"/>
  </cols>
  <sheetData>
    <row r="1">
      <c r="A1" s="27" t="s">
        <v>85</v>
      </c>
      <c r="B1" s="27" t="s">
        <v>200</v>
      </c>
      <c r="C1" s="27" t="s">
        <v>198</v>
      </c>
      <c r="D1" s="27" t="s">
        <v>199</v>
      </c>
      <c r="E1" s="27" t="s">
        <v>201</v>
      </c>
      <c r="F1" s="27" t="s">
        <v>202</v>
      </c>
      <c r="G1" s="27" t="s">
        <v>203</v>
      </c>
      <c r="H1" s="27" t="s">
        <v>85</v>
      </c>
      <c r="I1" s="27" t="s">
        <v>171</v>
      </c>
    </row>
    <row r="2">
      <c r="A2" s="28" t="s">
        <v>194</v>
      </c>
      <c r="B2"/>
      <c r="C2"/>
      <c r="D2"/>
      <c r="E2"/>
      <c r="F2"/>
      <c r="G2"/>
      <c r="H2" s="28" t="str">
        <f>A2</f>
        <v>Café, lunch break
light cleanup</v>
      </c>
      <c r="I2" s="31">
        <v>10</v>
      </c>
    </row>
    <row r="3">
      <c r="A3" s="28" t="s">
        <v>195</v>
      </c>
      <c r="B3" t="s">
        <v>204</v>
      </c>
      <c r="C3"/>
      <c r="D3"/>
      <c r="E3"/>
      <c r="F3"/>
      <c r="G3"/>
      <c r="H3" s="28" t="str">
        <f t="shared" ref="H3:H18" si="1">A3</f>
        <v>Café, end of day
full cleanup</v>
      </c>
      <c r="I3" s="31">
        <v>20</v>
      </c>
    </row>
    <row r="4">
      <c r="A4" s="28" t="s">
        <v>196</v>
      </c>
      <c r="B4"/>
      <c r="C4"/>
      <c r="D4"/>
      <c r="E4"/>
      <c r="F4"/>
      <c r="G4"/>
      <c r="H4" s="28" t="str">
        <f t="shared" si="1"/>
        <v>Kitchen, lunch brk
light cleanup</v>
      </c>
      <c r="I4" s="31">
        <v>10</v>
      </c>
    </row>
    <row r="5">
      <c r="A5" s="28" t="s">
        <v>197</v>
      </c>
      <c r="B5"/>
      <c r="C5"/>
      <c r="D5"/>
      <c r="E5"/>
      <c r="F5"/>
      <c r="G5"/>
      <c r="H5" s="28" t="str">
        <f t="shared" si="1"/>
        <v>Kitchen, end of day
full cleanup</v>
      </c>
      <c r="I5" s="31">
        <v>25</v>
      </c>
    </row>
    <row r="6">
      <c r="A6" s="28" t="s">
        <v>191</v>
      </c>
      <c r="B6"/>
      <c r="C6"/>
      <c r="D6"/>
      <c r="E6"/>
      <c r="F6"/>
      <c r="G6"/>
      <c r="H6" s="28" t="str">
        <f t="shared" si="1"/>
        <v>Coffee, snacks
Morning setup</v>
      </c>
      <c r="I6" s="31">
        <v>15</v>
      </c>
    </row>
    <row r="7">
      <c r="A7" s="28" t="s">
        <v>172</v>
      </c>
      <c r="B7"/>
      <c r="C7"/>
      <c r="D7"/>
      <c r="E7"/>
      <c r="F7"/>
      <c r="G7"/>
      <c r="H7" s="28" t="str">
        <f t="shared" si="1"/>
        <v>Coffee &amp; snacks
Evening brkdwn</v>
      </c>
      <c r="I7" s="31">
        <v>15</v>
      </c>
    </row>
    <row r="8">
      <c r="A8" s="28" t="s">
        <v>186</v>
      </c>
      <c r="B8" t="s">
        <v>174</v>
      </c>
      <c r="C8"/>
      <c r="D8" t="s">
        <v>174</v>
      </c>
      <c r="E8"/>
      <c r="F8" t="s">
        <v>174</v>
      </c>
      <c r="G8"/>
      <c r="H8" s="28" t="str">
        <f t="shared" si="1"/>
        <v>Tara Paradse, store,
Vacuum</v>
      </c>
      <c r="I8" s="31">
        <v>15</v>
      </c>
    </row>
    <row r="9">
      <c r="A9" s="28" t="s">
        <v>63</v>
      </c>
      <c r="B9" t="s">
        <v>174</v>
      </c>
      <c r="C9"/>
      <c r="D9" t="s">
        <v>174</v>
      </c>
      <c r="E9"/>
      <c r="F9" t="s">
        <v>174</v>
      </c>
      <c r="G9"/>
      <c r="H9" s="28" t="str">
        <f t="shared" si="1"/>
        <v>JH office, main hallway
Vacuum</v>
      </c>
      <c r="I9" s="31">
        <v>15</v>
      </c>
    </row>
    <row r="10">
      <c r="A10" s="28" t="s">
        <v>173</v>
      </c>
      <c r="B10"/>
      <c r="C10"/>
      <c r="D10"/>
      <c r="E10"/>
      <c r="F10"/>
      <c r="G10"/>
      <c r="H10" s="28" t="str">
        <f>A10</f>
        <v>Coatrm, café hallwy
Vacuum</v>
      </c>
      <c r="I10" s="31">
        <v>10</v>
      </c>
    </row>
    <row r="11">
      <c r="A11" s="28" t="s">
        <v>70</v>
      </c>
      <c r="B11" t="s">
        <v>174</v>
      </c>
      <c r="C11" t="s">
        <v>174</v>
      </c>
      <c r="D11"/>
      <c r="E11" t="s">
        <v>174</v>
      </c>
      <c r="F11" t="s">
        <v>174</v>
      </c>
      <c r="G11"/>
      <c r="H11" s="28" t="str">
        <f>A11</f>
        <v>Foyer &amp; lobby
Vacuum</v>
      </c>
      <c r="I11" s="31">
        <v>20</v>
      </c>
    </row>
    <row r="12">
      <c r="A12" s="28" t="s">
        <v>65</v>
      </c>
      <c r="B12" t="s">
        <v>174</v>
      </c>
      <c r="C12"/>
      <c r="D12" t="s">
        <v>174</v>
      </c>
      <c r="E12"/>
      <c r="F12" t="s">
        <v>174</v>
      </c>
      <c r="G12"/>
      <c r="H12" s="28" t="str">
        <f t="shared" si="1"/>
        <v>Lama offices
Clean</v>
      </c>
      <c r="I12" s="31">
        <v>10</v>
      </c>
    </row>
    <row r="13">
      <c r="A13" s="28" t="s">
        <v>66</v>
      </c>
      <c r="B13"/>
      <c r="C13"/>
      <c r="D13"/>
      <c r="E13"/>
      <c r="F13"/>
      <c r="G13"/>
      <c r="H13" s="28" t="str">
        <f t="shared" si="1"/>
        <v>Men's room
Clean &amp; stock</v>
      </c>
      <c r="I13" s="31">
        <v>10</v>
      </c>
    </row>
    <row r="14">
      <c r="A14" s="28" t="s">
        <v>67</v>
      </c>
      <c r="B14"/>
      <c r="C14"/>
      <c r="D14"/>
      <c r="E14"/>
      <c r="F14"/>
      <c r="G14"/>
      <c r="H14" s="28" t="str">
        <f t="shared" si="1"/>
        <v>Urinals
Check pads &amp; mop</v>
      </c>
      <c r="I14" s="31">
        <v>15</v>
      </c>
    </row>
    <row r="15">
      <c r="A15" s="28" t="s">
        <v>68</v>
      </c>
      <c r="B15"/>
      <c r="C15"/>
      <c r="D15"/>
      <c r="E15"/>
      <c r="F15"/>
      <c r="G15"/>
      <c r="H15" s="28" t="str">
        <f t="shared" si="1"/>
        <v>Women's room
Clean &amp; stock</v>
      </c>
      <c r="I15" s="31">
        <v>10</v>
      </c>
    </row>
    <row r="16">
      <c r="A16" s="28" t="s">
        <v>176</v>
      </c>
      <c r="B16"/>
      <c r="C16"/>
      <c r="D16"/>
      <c r="E16"/>
      <c r="F16"/>
      <c r="G16"/>
      <c r="H16" s="28" t="str">
        <f t="shared" si="1"/>
        <v>Unisx, Lama bathrooms</v>
      </c>
      <c r="I16" s="31">
        <v>10</v>
      </c>
    </row>
    <row r="17">
      <c r="A17" s="28" t="s">
        <v>71</v>
      </c>
      <c r="B17" t="s">
        <v>174</v>
      </c>
      <c r="C17" t="s">
        <v>174</v>
      </c>
      <c r="D17"/>
      <c r="E17" t="s">
        <v>174</v>
      </c>
      <c r="F17" t="s">
        <v>174</v>
      </c>
      <c r="G17"/>
      <c r="H17" s="28" t="str">
        <f t="shared" si="1"/>
        <v>Front windows
Clean</v>
      </c>
      <c r="I17" s="31">
        <v>10</v>
      </c>
    </row>
    <row r="18">
      <c r="A18" s="28" t="s">
        <v>177</v>
      </c>
      <c r="B18" t="s">
        <v>174</v>
      </c>
      <c r="C18"/>
      <c r="D18" t="s">
        <v>174</v>
      </c>
      <c r="E18"/>
      <c r="F18" t="s">
        <v>174</v>
      </c>
      <c r="G18"/>
      <c r="H18" s="28" t="str">
        <f t="shared" si="1"/>
        <v>Towels, mop pads
launder at home</v>
      </c>
      <c r="I18" s="31">
        <v>15</v>
      </c>
    </row>
    <row r="19" spans="1:13" ht="16" thickTop="1" x14ac:dyDescent="0.35"/>
  </sheetData>
  <pageMargins left="0.1" right="0.1" top="0.1" bottom="0.1" header="0.1" footer="0.1"/>
  <pageSetup fitToWidth="2" fitToHeight="2"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workbookViewId="0">
      <selection sqref="A1:E1"/>
    </sheetView>
  </sheetViews>
  <sheetFormatPr defaultRowHeight="14.5" x14ac:dyDescent="0.35"/>
  <cols>
    <col min="1" max="1" width="8" customWidth="1"/>
    <col min="2" max="2" width="12" customWidth="1"/>
    <col min="3" max="3" width="24" customWidth="1"/>
    <col min="4" max="4" width="36" customWidth="1"/>
    <col min="5" max="5" width="28" customWidth="1"/>
  </cols>
  <sheetData>
    <row r="1" spans="1:5" ht="18" x14ac:dyDescent="0.4">
      <c r="A1" s="36" t="s">
        <v>75</v>
      </c>
      <c r="B1" s="37"/>
      <c r="C1" s="37"/>
      <c r="D1" s="37"/>
      <c r="E1" s="37"/>
    </row>
    <row r="2" spans="1:5" x14ac:dyDescent="0.35">
      <c r="A2" s="33" t="s">
        <v>76</v>
      </c>
      <c r="B2" s="34"/>
      <c r="C2" s="34"/>
      <c r="D2" s="34"/>
      <c r="E2" s="35"/>
    </row>
    <row r="4" spans="1:5" ht="28" x14ac:dyDescent="0.35">
      <c r="A4" s="1" t="s">
        <v>77</v>
      </c>
      <c r="B4" s="1" t="s">
        <v>3</v>
      </c>
      <c r="C4" s="1" t="s">
        <v>78</v>
      </c>
      <c r="D4" s="1" t="s">
        <v>79</v>
      </c>
      <c r="E4" s="1" t="s">
        <v>80</v>
      </c>
    </row>
    <row r="5" spans="1:5" x14ac:dyDescent="0.35">
      <c r="A5" s="2">
        <v>1</v>
      </c>
      <c r="B5" s="2" t="s">
        <v>9</v>
      </c>
      <c r="C5" s="2">
        <v>145</v>
      </c>
      <c r="D5" s="2">
        <v>11</v>
      </c>
      <c r="E5" s="2">
        <v>13.2</v>
      </c>
    </row>
    <row r="6" spans="1:5" x14ac:dyDescent="0.35">
      <c r="A6" s="4">
        <v>2</v>
      </c>
      <c r="B6" s="4" t="s">
        <v>29</v>
      </c>
      <c r="C6" s="4">
        <v>200</v>
      </c>
      <c r="D6" s="4">
        <v>15</v>
      </c>
      <c r="E6" s="4">
        <v>13.3</v>
      </c>
    </row>
    <row r="7" spans="1:5" x14ac:dyDescent="0.35">
      <c r="A7" s="2">
        <v>3</v>
      </c>
      <c r="B7" s="2" t="s">
        <v>36</v>
      </c>
      <c r="C7" s="2">
        <v>170</v>
      </c>
      <c r="D7" s="2">
        <v>13</v>
      </c>
      <c r="E7" s="2">
        <v>13.1</v>
      </c>
    </row>
    <row r="8" spans="1:5" x14ac:dyDescent="0.35">
      <c r="A8" s="4">
        <v>4</v>
      </c>
      <c r="B8" s="4" t="s">
        <v>39</v>
      </c>
      <c r="C8" s="4">
        <v>200</v>
      </c>
      <c r="D8" s="4">
        <v>15</v>
      </c>
      <c r="E8" s="4">
        <v>13.3</v>
      </c>
    </row>
    <row r="9" spans="1:5" x14ac:dyDescent="0.35">
      <c r="A9" s="2">
        <v>5</v>
      </c>
      <c r="B9" s="2" t="s">
        <v>40</v>
      </c>
      <c r="C9" s="2">
        <v>145</v>
      </c>
      <c r="D9" s="2">
        <v>11</v>
      </c>
      <c r="E9" s="2">
        <v>13.2</v>
      </c>
    </row>
    <row r="10" spans="1:5" x14ac:dyDescent="0.35">
      <c r="A10" s="4">
        <v>6</v>
      </c>
      <c r="B10" s="4" t="s">
        <v>41</v>
      </c>
      <c r="C10" s="4">
        <v>225</v>
      </c>
      <c r="D10" s="4">
        <v>17</v>
      </c>
      <c r="E10" s="4">
        <v>13.2</v>
      </c>
    </row>
    <row r="11" spans="1:5" x14ac:dyDescent="0.35">
      <c r="A11" s="6" t="s">
        <v>81</v>
      </c>
      <c r="B11" s="6" t="s">
        <v>82</v>
      </c>
      <c r="C11" s="6">
        <f>SUM(C5:C10)</f>
        <v>1085</v>
      </c>
      <c r="D11" s="6">
        <f>SUM(D5:D10)</f>
        <v>82</v>
      </c>
      <c r="E11" s="6">
        <f>ROUND(C11/D11,1)</f>
        <v>13.2</v>
      </c>
    </row>
  </sheetData>
  <mergeCells count="2">
    <mergeCell ref="A2:E2"/>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B94"/>
  <sheetViews>
    <sheetView workbookViewId="0">
      <pane ySplit="4" topLeftCell="A5" activePane="bottomLeft" state="frozen"/>
      <selection pane="bottomLeft" sqref="A1:B1"/>
    </sheetView>
  </sheetViews>
  <sheetFormatPr defaultRowHeight="14.5" outlineLevelRow="1" x14ac:dyDescent="0.35"/>
  <cols>
    <col min="1" max="2" width="60" customWidth="1"/>
  </cols>
  <sheetData>
    <row r="1" spans="1:2" ht="18" x14ac:dyDescent="0.4">
      <c r="A1" s="36" t="s">
        <v>83</v>
      </c>
      <c r="B1" s="37"/>
    </row>
    <row r="2" spans="1:2" x14ac:dyDescent="0.35">
      <c r="A2" s="33" t="s">
        <v>84</v>
      </c>
      <c r="B2" s="35"/>
    </row>
    <row r="4" spans="1:2" x14ac:dyDescent="0.35">
      <c r="A4" s="1" t="s">
        <v>85</v>
      </c>
      <c r="B4" s="1" t="s">
        <v>86</v>
      </c>
    </row>
    <row r="5" spans="1:2" ht="22" customHeight="1" x14ac:dyDescent="0.35">
      <c r="A5" s="7" t="s">
        <v>87</v>
      </c>
      <c r="B5" s="8"/>
    </row>
    <row r="6" spans="1:2" outlineLevel="1" x14ac:dyDescent="0.35">
      <c r="A6" s="9"/>
      <c r="B6" s="3" t="s">
        <v>88</v>
      </c>
    </row>
    <row r="7" spans="1:2" outlineLevel="1" x14ac:dyDescent="0.35">
      <c r="A7" s="9"/>
      <c r="B7" s="3" t="s">
        <v>89</v>
      </c>
    </row>
    <row r="8" spans="1:2" outlineLevel="1" x14ac:dyDescent="0.35">
      <c r="A8" s="9"/>
      <c r="B8" s="3" t="s">
        <v>22</v>
      </c>
    </row>
    <row r="9" spans="1:2" ht="22" customHeight="1" x14ac:dyDescent="0.35">
      <c r="A9" s="7" t="s">
        <v>90</v>
      </c>
      <c r="B9" s="8"/>
    </row>
    <row r="10" spans="1:2" outlineLevel="1" x14ac:dyDescent="0.35">
      <c r="A10" s="9"/>
      <c r="B10" s="3" t="s">
        <v>88</v>
      </c>
    </row>
    <row r="11" spans="1:2" outlineLevel="1" x14ac:dyDescent="0.35">
      <c r="A11" s="9"/>
      <c r="B11" s="3" t="s">
        <v>91</v>
      </c>
    </row>
    <row r="12" spans="1:2" outlineLevel="1" x14ac:dyDescent="0.35">
      <c r="A12" s="9"/>
      <c r="B12" s="3" t="s">
        <v>92</v>
      </c>
    </row>
    <row r="13" spans="1:2" outlineLevel="1" x14ac:dyDescent="0.35">
      <c r="A13" s="9"/>
      <c r="B13" s="3" t="s">
        <v>22</v>
      </c>
    </row>
    <row r="14" spans="1:2" outlineLevel="1" x14ac:dyDescent="0.35">
      <c r="A14" s="9"/>
      <c r="B14" s="3" t="s">
        <v>93</v>
      </c>
    </row>
    <row r="15" spans="1:2" outlineLevel="1" x14ac:dyDescent="0.35">
      <c r="A15" s="9"/>
      <c r="B15" s="3" t="s">
        <v>94</v>
      </c>
    </row>
    <row r="16" spans="1:2" outlineLevel="1" x14ac:dyDescent="0.35">
      <c r="A16" s="9"/>
      <c r="B16" s="3" t="s">
        <v>95</v>
      </c>
    </row>
    <row r="17" spans="1:2" ht="22" customHeight="1" x14ac:dyDescent="0.35">
      <c r="A17" s="7" t="s">
        <v>96</v>
      </c>
      <c r="B17" s="8"/>
    </row>
    <row r="18" spans="1:2" outlineLevel="1" x14ac:dyDescent="0.35">
      <c r="A18" s="9"/>
      <c r="B18" s="3" t="s">
        <v>97</v>
      </c>
    </row>
    <row r="19" spans="1:2" outlineLevel="1" x14ac:dyDescent="0.35">
      <c r="A19" s="9"/>
      <c r="B19" s="3" t="s">
        <v>98</v>
      </c>
    </row>
    <row r="20" spans="1:2" outlineLevel="1" x14ac:dyDescent="0.35">
      <c r="A20" s="9"/>
      <c r="B20" s="3" t="s">
        <v>22</v>
      </c>
    </row>
    <row r="21" spans="1:2" ht="22" customHeight="1" x14ac:dyDescent="0.35">
      <c r="A21" s="7" t="s">
        <v>99</v>
      </c>
      <c r="B21" s="8"/>
    </row>
    <row r="22" spans="1:2" outlineLevel="1" x14ac:dyDescent="0.35">
      <c r="A22" s="9"/>
      <c r="B22" s="3" t="s">
        <v>100</v>
      </c>
    </row>
    <row r="23" spans="1:2" outlineLevel="1" x14ac:dyDescent="0.35">
      <c r="A23" s="9"/>
      <c r="B23" s="3" t="s">
        <v>101</v>
      </c>
    </row>
    <row r="24" spans="1:2" outlineLevel="1" x14ac:dyDescent="0.35">
      <c r="A24" s="9"/>
      <c r="B24" s="3" t="s">
        <v>22</v>
      </c>
    </row>
    <row r="25" spans="1:2" outlineLevel="1" x14ac:dyDescent="0.35">
      <c r="A25" s="9"/>
      <c r="B25" s="3" t="s">
        <v>93</v>
      </c>
    </row>
    <row r="26" spans="1:2" outlineLevel="1" x14ac:dyDescent="0.35">
      <c r="A26" s="9"/>
      <c r="B26" s="3" t="s">
        <v>102</v>
      </c>
    </row>
    <row r="27" spans="1:2" outlineLevel="1" x14ac:dyDescent="0.35">
      <c r="A27" s="9"/>
      <c r="B27" s="3" t="s">
        <v>103</v>
      </c>
    </row>
    <row r="28" spans="1:2" outlineLevel="1" x14ac:dyDescent="0.35">
      <c r="A28" s="9"/>
      <c r="B28" s="3" t="s">
        <v>98</v>
      </c>
    </row>
    <row r="29" spans="1:2" outlineLevel="1" x14ac:dyDescent="0.35">
      <c r="A29" s="9"/>
      <c r="B29" s="3" t="s">
        <v>104</v>
      </c>
    </row>
    <row r="30" spans="1:2" ht="22" customHeight="1" x14ac:dyDescent="0.35">
      <c r="A30" s="7" t="s">
        <v>105</v>
      </c>
      <c r="B30" s="8"/>
    </row>
    <row r="31" spans="1:2" outlineLevel="1" x14ac:dyDescent="0.35">
      <c r="A31" s="9"/>
      <c r="B31" s="3" t="s">
        <v>106</v>
      </c>
    </row>
    <row r="32" spans="1:2" outlineLevel="1" x14ac:dyDescent="0.35">
      <c r="A32" s="9"/>
      <c r="B32" s="3" t="s">
        <v>107</v>
      </c>
    </row>
    <row r="33" spans="1:2" outlineLevel="1" x14ac:dyDescent="0.35">
      <c r="A33" s="9"/>
      <c r="B33" s="3" t="s">
        <v>108</v>
      </c>
    </row>
    <row r="34" spans="1:2" outlineLevel="1" x14ac:dyDescent="0.35">
      <c r="A34" s="9"/>
      <c r="B34" s="3" t="s">
        <v>109</v>
      </c>
    </row>
    <row r="35" spans="1:2" ht="22" customHeight="1" x14ac:dyDescent="0.35">
      <c r="A35" s="7" t="s">
        <v>110</v>
      </c>
      <c r="B35" s="8"/>
    </row>
    <row r="36" spans="1:2" outlineLevel="1" x14ac:dyDescent="0.35">
      <c r="A36" s="9"/>
      <c r="B36" s="3" t="s">
        <v>111</v>
      </c>
    </row>
    <row r="37" spans="1:2" outlineLevel="1" x14ac:dyDescent="0.35">
      <c r="A37" s="9"/>
      <c r="B37" s="3" t="s">
        <v>112</v>
      </c>
    </row>
    <row r="38" spans="1:2" outlineLevel="1" x14ac:dyDescent="0.35">
      <c r="A38" s="9"/>
      <c r="B38" s="3" t="s">
        <v>113</v>
      </c>
    </row>
    <row r="39" spans="1:2" outlineLevel="1" x14ac:dyDescent="0.35">
      <c r="A39" s="9"/>
      <c r="B39" s="3" t="s">
        <v>91</v>
      </c>
    </row>
    <row r="40" spans="1:2" outlineLevel="1" x14ac:dyDescent="0.35">
      <c r="A40" s="9"/>
      <c r="B40" s="3" t="s">
        <v>114</v>
      </c>
    </row>
    <row r="41" spans="1:2" outlineLevel="1" x14ac:dyDescent="0.35">
      <c r="A41" s="9"/>
      <c r="B41" s="3" t="s">
        <v>115</v>
      </c>
    </row>
    <row r="42" spans="1:2" ht="22" customHeight="1" x14ac:dyDescent="0.35">
      <c r="A42" s="7" t="s">
        <v>116</v>
      </c>
      <c r="B42" s="8"/>
    </row>
    <row r="43" spans="1:2" outlineLevel="1" x14ac:dyDescent="0.35">
      <c r="A43" s="9"/>
      <c r="B43" s="3" t="s">
        <v>117</v>
      </c>
    </row>
    <row r="44" spans="1:2" outlineLevel="1" x14ac:dyDescent="0.35">
      <c r="A44" s="9"/>
      <c r="B44" s="3" t="s">
        <v>118</v>
      </c>
    </row>
    <row r="45" spans="1:2" ht="22" customHeight="1" x14ac:dyDescent="0.35">
      <c r="A45" s="7" t="s">
        <v>119</v>
      </c>
      <c r="B45" s="8"/>
    </row>
    <row r="46" spans="1:2" outlineLevel="1" x14ac:dyDescent="0.35">
      <c r="A46" s="9"/>
      <c r="B46" s="3" t="s">
        <v>117</v>
      </c>
    </row>
    <row r="47" spans="1:2" outlineLevel="1" x14ac:dyDescent="0.35">
      <c r="A47" s="9"/>
      <c r="B47" s="3" t="s">
        <v>118</v>
      </c>
    </row>
    <row r="48" spans="1:2" ht="22" customHeight="1" x14ac:dyDescent="0.35">
      <c r="A48" s="7" t="s">
        <v>120</v>
      </c>
      <c r="B48" s="8"/>
    </row>
    <row r="49" spans="1:2" outlineLevel="1" x14ac:dyDescent="0.35">
      <c r="A49" s="9"/>
      <c r="B49" s="3" t="s">
        <v>117</v>
      </c>
    </row>
    <row r="50" spans="1:2" outlineLevel="1" x14ac:dyDescent="0.35">
      <c r="A50" s="9"/>
      <c r="B50" s="3" t="s">
        <v>121</v>
      </c>
    </row>
    <row r="51" spans="1:2" ht="22" customHeight="1" x14ac:dyDescent="0.35">
      <c r="A51" s="7" t="s">
        <v>122</v>
      </c>
      <c r="B51" s="8"/>
    </row>
    <row r="52" spans="1:2" outlineLevel="1" x14ac:dyDescent="0.35">
      <c r="A52" s="9"/>
      <c r="B52" s="3" t="s">
        <v>22</v>
      </c>
    </row>
    <row r="53" spans="1:2" outlineLevel="1" x14ac:dyDescent="0.35">
      <c r="A53" s="9"/>
      <c r="B53" s="3" t="s">
        <v>123</v>
      </c>
    </row>
    <row r="54" spans="1:2" outlineLevel="1" x14ac:dyDescent="0.35">
      <c r="A54" s="9"/>
      <c r="B54" s="3" t="s">
        <v>124</v>
      </c>
    </row>
    <row r="55" spans="1:2" ht="22" customHeight="1" x14ac:dyDescent="0.35">
      <c r="A55" s="7" t="s">
        <v>125</v>
      </c>
      <c r="B55" s="8"/>
    </row>
    <row r="56" spans="1:2" outlineLevel="1" x14ac:dyDescent="0.35">
      <c r="A56" s="9"/>
      <c r="B56" s="3" t="s">
        <v>93</v>
      </c>
    </row>
    <row r="57" spans="1:2" outlineLevel="1" x14ac:dyDescent="0.35">
      <c r="A57" s="9"/>
      <c r="B57" s="3" t="s">
        <v>126</v>
      </c>
    </row>
    <row r="58" spans="1:2" outlineLevel="1" x14ac:dyDescent="0.35">
      <c r="A58" s="9"/>
      <c r="B58" s="3" t="s">
        <v>127</v>
      </c>
    </row>
    <row r="59" spans="1:2" outlineLevel="1" x14ac:dyDescent="0.35">
      <c r="A59" s="9"/>
      <c r="B59" s="3" t="s">
        <v>128</v>
      </c>
    </row>
    <row r="60" spans="1:2" outlineLevel="1" x14ac:dyDescent="0.35">
      <c r="A60" s="9"/>
      <c r="B60" s="3" t="s">
        <v>129</v>
      </c>
    </row>
    <row r="61" spans="1:2" outlineLevel="1" x14ac:dyDescent="0.35">
      <c r="A61" s="9"/>
      <c r="B61" s="3" t="s">
        <v>130</v>
      </c>
    </row>
    <row r="62" spans="1:2" outlineLevel="1" x14ac:dyDescent="0.35">
      <c r="A62" s="9"/>
      <c r="B62" s="3" t="s">
        <v>131</v>
      </c>
    </row>
    <row r="63" spans="1:2" outlineLevel="1" x14ac:dyDescent="0.35">
      <c r="A63" s="9"/>
      <c r="B63" s="3" t="s">
        <v>132</v>
      </c>
    </row>
    <row r="64" spans="1:2" ht="22" customHeight="1" x14ac:dyDescent="0.35">
      <c r="A64" s="7" t="s">
        <v>133</v>
      </c>
      <c r="B64" s="8"/>
    </row>
    <row r="65" spans="1:2" outlineLevel="1" x14ac:dyDescent="0.35">
      <c r="A65" s="9"/>
      <c r="B65" s="3" t="s">
        <v>134</v>
      </c>
    </row>
    <row r="66" spans="1:2" outlineLevel="1" x14ac:dyDescent="0.35">
      <c r="A66" s="9"/>
      <c r="B66" s="3" t="s">
        <v>135</v>
      </c>
    </row>
    <row r="67" spans="1:2" outlineLevel="1" x14ac:dyDescent="0.35">
      <c r="A67" s="9"/>
      <c r="B67" s="3" t="s">
        <v>136</v>
      </c>
    </row>
    <row r="68" spans="1:2" outlineLevel="1" x14ac:dyDescent="0.35">
      <c r="A68" s="9"/>
      <c r="B68" s="3" t="s">
        <v>137</v>
      </c>
    </row>
    <row r="69" spans="1:2" ht="22" customHeight="1" x14ac:dyDescent="0.35">
      <c r="A69" s="7" t="s">
        <v>138</v>
      </c>
      <c r="B69" s="8"/>
    </row>
    <row r="70" spans="1:2" outlineLevel="1" x14ac:dyDescent="0.35">
      <c r="A70" s="9"/>
      <c r="B70" s="3" t="s">
        <v>93</v>
      </c>
    </row>
    <row r="71" spans="1:2" outlineLevel="1" x14ac:dyDescent="0.35">
      <c r="A71" s="9"/>
      <c r="B71" s="3" t="s">
        <v>126</v>
      </c>
    </row>
    <row r="72" spans="1:2" outlineLevel="1" x14ac:dyDescent="0.35">
      <c r="A72" s="9"/>
      <c r="B72" s="3" t="s">
        <v>127</v>
      </c>
    </row>
    <row r="73" spans="1:2" outlineLevel="1" x14ac:dyDescent="0.35">
      <c r="A73" s="9"/>
      <c r="B73" s="3" t="s">
        <v>128</v>
      </c>
    </row>
    <row r="74" spans="1:2" outlineLevel="1" x14ac:dyDescent="0.35">
      <c r="A74" s="9"/>
      <c r="B74" s="3" t="s">
        <v>129</v>
      </c>
    </row>
    <row r="75" spans="1:2" outlineLevel="1" x14ac:dyDescent="0.35">
      <c r="A75" s="9"/>
      <c r="B75" s="3" t="s">
        <v>130</v>
      </c>
    </row>
    <row r="76" spans="1:2" outlineLevel="1" x14ac:dyDescent="0.35">
      <c r="A76" s="9"/>
      <c r="B76" s="3" t="s">
        <v>131</v>
      </c>
    </row>
    <row r="77" spans="1:2" outlineLevel="1" x14ac:dyDescent="0.35">
      <c r="A77" s="9"/>
      <c r="B77" s="3" t="s">
        <v>132</v>
      </c>
    </row>
    <row r="78" spans="1:2" ht="22" customHeight="1" x14ac:dyDescent="0.35">
      <c r="A78" s="7" t="s">
        <v>139</v>
      </c>
      <c r="B78" s="8"/>
    </row>
    <row r="79" spans="1:2" outlineLevel="1" x14ac:dyDescent="0.35">
      <c r="A79" s="9"/>
      <c r="B79" s="3" t="s">
        <v>93</v>
      </c>
    </row>
    <row r="80" spans="1:2" outlineLevel="1" x14ac:dyDescent="0.35">
      <c r="A80" s="9"/>
      <c r="B80" s="3" t="s">
        <v>126</v>
      </c>
    </row>
    <row r="81" spans="1:2" outlineLevel="1" x14ac:dyDescent="0.35">
      <c r="A81" s="9"/>
      <c r="B81" s="3" t="s">
        <v>127</v>
      </c>
    </row>
    <row r="82" spans="1:2" outlineLevel="1" x14ac:dyDescent="0.35">
      <c r="A82" s="9"/>
      <c r="B82" s="3" t="s">
        <v>128</v>
      </c>
    </row>
    <row r="83" spans="1:2" outlineLevel="1" x14ac:dyDescent="0.35">
      <c r="A83" s="9"/>
      <c r="B83" s="3" t="s">
        <v>129</v>
      </c>
    </row>
    <row r="84" spans="1:2" outlineLevel="1" x14ac:dyDescent="0.35">
      <c r="A84" s="9"/>
      <c r="B84" s="3" t="s">
        <v>130</v>
      </c>
    </row>
    <row r="85" spans="1:2" outlineLevel="1" x14ac:dyDescent="0.35">
      <c r="A85" s="9"/>
      <c r="B85" s="3" t="s">
        <v>132</v>
      </c>
    </row>
    <row r="86" spans="1:2" ht="22" customHeight="1" x14ac:dyDescent="0.35">
      <c r="A86" s="7" t="s">
        <v>140</v>
      </c>
      <c r="B86" s="8"/>
    </row>
    <row r="87" spans="1:2" outlineLevel="1" x14ac:dyDescent="0.35">
      <c r="A87" s="9"/>
      <c r="B87" s="10" t="s">
        <v>141</v>
      </c>
    </row>
    <row r="88" spans="1:2" ht="22" customHeight="1" x14ac:dyDescent="0.35">
      <c r="A88" s="7" t="s">
        <v>142</v>
      </c>
      <c r="B88" s="8"/>
    </row>
    <row r="89" spans="1:2" outlineLevel="1" x14ac:dyDescent="0.35">
      <c r="A89" s="9"/>
      <c r="B89" s="10" t="s">
        <v>141</v>
      </c>
    </row>
    <row r="90" spans="1:2" ht="22" customHeight="1" x14ac:dyDescent="0.35">
      <c r="A90" s="7" t="s">
        <v>143</v>
      </c>
      <c r="B90" s="8"/>
    </row>
    <row r="91" spans="1:2" outlineLevel="1" x14ac:dyDescent="0.35">
      <c r="A91" s="9"/>
      <c r="B91" s="3" t="s">
        <v>144</v>
      </c>
    </row>
    <row r="92" spans="1:2" outlineLevel="1" x14ac:dyDescent="0.35">
      <c r="A92" s="9"/>
      <c r="B92" s="3" t="s">
        <v>145</v>
      </c>
    </row>
    <row r="93" spans="1:2" outlineLevel="1" x14ac:dyDescent="0.35">
      <c r="A93" s="9"/>
      <c r="B93" s="3" t="s">
        <v>146</v>
      </c>
    </row>
    <row r="94" spans="1:2" outlineLevel="1" x14ac:dyDescent="0.35">
      <c r="A94" s="9"/>
      <c r="B94" s="3" t="s">
        <v>147</v>
      </c>
    </row>
  </sheetData>
  <mergeCells count="2">
    <mergeCell ref="A2:B2"/>
    <mergeCell ref="A1:B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3"/>
  <sheetViews>
    <sheetView workbookViewId="0">
      <selection sqref="A1:B1"/>
    </sheetView>
  </sheetViews>
  <sheetFormatPr defaultRowHeight="14.5" x14ac:dyDescent="0.35"/>
  <cols>
    <col min="1" max="1" width="32" customWidth="1"/>
    <col min="2" max="2" width="100" customWidth="1"/>
  </cols>
  <sheetData>
    <row r="1" spans="1:2" ht="18" x14ac:dyDescent="0.4">
      <c r="A1" s="36" t="s">
        <v>148</v>
      </c>
      <c r="B1" s="37"/>
    </row>
    <row r="3" spans="1:2" ht="60" customHeight="1" x14ac:dyDescent="0.35">
      <c r="A3" s="11" t="s">
        <v>149</v>
      </c>
      <c r="B3" s="12" t="s">
        <v>150</v>
      </c>
    </row>
    <row r="4" spans="1:2" ht="60" customHeight="1" x14ac:dyDescent="0.35">
      <c r="A4" s="13" t="s">
        <v>151</v>
      </c>
      <c r="B4" s="14" t="s">
        <v>152</v>
      </c>
    </row>
    <row r="5" spans="1:2" ht="60" customHeight="1" x14ac:dyDescent="0.35">
      <c r="A5" s="11" t="s">
        <v>153</v>
      </c>
      <c r="B5" s="12" t="s">
        <v>154</v>
      </c>
    </row>
    <row r="6" spans="1:2" ht="60" customHeight="1" x14ac:dyDescent="0.35">
      <c r="A6" s="13" t="s">
        <v>155</v>
      </c>
      <c r="B6" s="14" t="s">
        <v>156</v>
      </c>
    </row>
    <row r="7" spans="1:2" ht="60" customHeight="1" x14ac:dyDescent="0.35">
      <c r="A7" s="11" t="s">
        <v>157</v>
      </c>
      <c r="B7" s="12" t="s">
        <v>158</v>
      </c>
    </row>
    <row r="8" spans="1:2" ht="60" customHeight="1" x14ac:dyDescent="0.35">
      <c r="A8" s="13" t="s">
        <v>159</v>
      </c>
      <c r="B8" s="14" t="s">
        <v>160</v>
      </c>
    </row>
    <row r="9" spans="1:2" ht="60" customHeight="1" x14ac:dyDescent="0.35">
      <c r="A9" s="11" t="s">
        <v>161</v>
      </c>
      <c r="B9" s="12" t="s">
        <v>162</v>
      </c>
    </row>
    <row r="10" spans="1:2" ht="60" customHeight="1" x14ac:dyDescent="0.35">
      <c r="A10" s="13" t="s">
        <v>163</v>
      </c>
      <c r="B10" s="14" t="s">
        <v>164</v>
      </c>
    </row>
    <row r="11" spans="1:2" ht="60" customHeight="1" x14ac:dyDescent="0.35">
      <c r="A11" s="11" t="s">
        <v>165</v>
      </c>
      <c r="B11" s="12" t="s">
        <v>166</v>
      </c>
    </row>
    <row r="12" spans="1:2" ht="60" customHeight="1" x14ac:dyDescent="0.35">
      <c r="A12" s="13" t="s">
        <v>167</v>
      </c>
      <c r="B12" s="14" t="s">
        <v>168</v>
      </c>
    </row>
    <row r="13" spans="1:2" ht="60" customHeight="1" x14ac:dyDescent="0.35">
      <c r="A13" s="11" t="s">
        <v>169</v>
      </c>
      <c r="B13" s="12" t="s">
        <v>170</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vt:lpstr>
      <vt:lpstr>Merit board</vt:lpstr>
      <vt:lpstr>Merit board 2</vt:lpstr>
      <vt:lpstr>Master</vt:lpstr>
      <vt:lpstr>Metrics</vt:lpstr>
      <vt:lpstr>Instructions</vt:lpstr>
      <vt:lpstr>Notes</vt:lpstr>
      <vt:lpstr>Master!Print_Area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David Lewis</cp:lastModifiedBy>
  <cp:lastPrinted>2026-06-13T21:49:07Z</cp:lastPrinted>
  <dcterms:created xsi:type="dcterms:W3CDTF">2026-05-22T22:26:56Z</dcterms:created>
  <dcterms:modified xsi:type="dcterms:W3CDTF">2026-06-15T14:59:49Z</dcterms:modified>
</cp:coreProperties>
</file>